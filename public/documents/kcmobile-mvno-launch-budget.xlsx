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984ccf3bc26c3c/Documents/Kaizer Chiefs/"/>
    </mc:Choice>
  </mc:AlternateContent>
  <xr:revisionPtr revIDLastSave="344" documentId="8_{DC7F3546-461B-49CF-8521-6C55334D5FBD}" xr6:coauthVersionLast="47" xr6:coauthVersionMax="47" xr10:uidLastSave="{CCB6148C-6699-43EA-9A67-0F111A7A8547}"/>
  <bookViews>
    <workbookView xWindow="-108" yWindow="-108" windowWidth="23256" windowHeight="12576" xr2:uid="{2059451C-559D-4B0C-B7CD-FA8EF8E55136}"/>
  </bookViews>
  <sheets>
    <sheet name="Wholesale Focused Approac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G25" i="2"/>
  <c r="B28" i="2"/>
  <c r="F28" i="2" s="1"/>
  <c r="B27" i="2"/>
  <c r="E27" i="2" s="1"/>
  <c r="B26" i="2"/>
  <c r="F26" i="2" s="1"/>
  <c r="B25" i="2"/>
  <c r="E25" i="2" s="1"/>
  <c r="B24" i="2"/>
  <c r="G24" i="2" s="1"/>
  <c r="B23" i="2"/>
  <c r="G23" i="2" s="1"/>
  <c r="B22" i="2"/>
  <c r="E22" i="2" s="1"/>
  <c r="B21" i="2"/>
  <c r="F21" i="2" s="1"/>
  <c r="E21" i="2" l="1"/>
  <c r="E23" i="2"/>
  <c r="G21" i="2"/>
  <c r="F23" i="2"/>
  <c r="G27" i="2"/>
  <c r="F25" i="2"/>
  <c r="D28" i="2"/>
  <c r="G26" i="2"/>
  <c r="D24" i="2"/>
  <c r="F22" i="2"/>
  <c r="G22" i="2"/>
  <c r="E28" i="2"/>
  <c r="E26" i="2"/>
  <c r="D25" i="2"/>
  <c r="E24" i="2"/>
  <c r="D21" i="2"/>
  <c r="F27" i="2"/>
  <c r="G28" i="2"/>
  <c r="D26" i="2"/>
  <c r="D22" i="2"/>
  <c r="D27" i="2"/>
  <c r="F24" i="2"/>
  <c r="B30" i="2"/>
  <c r="D30" i="2" l="1"/>
  <c r="F30" i="2"/>
  <c r="E30" i="2"/>
  <c r="G30" i="2"/>
</calcChain>
</file>

<file path=xl/sharedStrings.xml><?xml version="1.0" encoding="utf-8"?>
<sst xmlns="http://schemas.openxmlformats.org/spreadsheetml/2006/main" count="32" uniqueCount="32">
  <si>
    <t>Category</t>
  </si>
  <si>
    <t>Budget</t>
  </si>
  <si>
    <t>%</t>
  </si>
  <si>
    <t>Out-of-Home Advertising</t>
  </si>
  <si>
    <t>Primary Target Market:</t>
  </si>
  <si>
    <t>Kaizer Chiefs supporters nationwide</t>
  </si>
  <si>
    <t>Township and peri-urban markets</t>
  </si>
  <si>
    <t>Total</t>
  </si>
  <si>
    <t>Customer Incentives, Promotions, and Competitions</t>
  </si>
  <si>
    <t>Branding Material and Promotion Kits</t>
  </si>
  <si>
    <t>Total Marketing Budget:</t>
  </si>
  <si>
    <t>12 months</t>
  </si>
  <si>
    <r>
      <t>Campaign Duration:</t>
    </r>
    <r>
      <rPr>
        <sz val="11"/>
        <color theme="1"/>
        <rFont val="Aptos Narrow"/>
        <family val="2"/>
        <scheme val="minor"/>
      </rPr>
      <t xml:space="preserve"> </t>
    </r>
  </si>
  <si>
    <t>Go-to-Market Model:</t>
  </si>
  <si>
    <t>Strategic Objective:</t>
  </si>
  <si>
    <t>80% Physical SIM (Wholesale &amp; Retail)</t>
  </si>
  <si>
    <t>20% eSIM (Digital &amp; Stadium)</t>
  </si>
  <si>
    <t>Rapidly scale KC Mobile through high-volume physical SIM distribution, leveraging the Club’s brand power to drive awareness and retailer pull, fast SIM sell-out and repeat reorders, while using eSIM as a secondary digital convenience channel.</t>
  </si>
  <si>
    <t>Wholesale distribution–led model in line with the business strategy and budget</t>
  </si>
  <si>
    <t>Supporters seeking affordable mobile connectivity</t>
  </si>
  <si>
    <t>Youth and young professionals (18–45)</t>
  </si>
  <si>
    <t>KCMobile MVNO</t>
  </si>
  <si>
    <t>Marketing Strategy &amp; Budget</t>
  </si>
  <si>
    <t>Digital Marketing (Google,Meta,TikTok)</t>
  </si>
  <si>
    <t>Stadium and Other Activations (National)</t>
  </si>
  <si>
    <t>PR &amp; Media Relations (SABC and Local Radio)</t>
  </si>
  <si>
    <t>Month 10-12</t>
  </si>
  <si>
    <t>Month 1-3</t>
  </si>
  <si>
    <t>Month 3-6</t>
  </si>
  <si>
    <t>Month 7-9</t>
  </si>
  <si>
    <t>Design, Production &amp; Content Marketing</t>
  </si>
  <si>
    <t>Trade Partner &amp; Retail POS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</si>
</sst>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6"/>
      <color rgb="FF000000"/>
      <name val="Aptos Narrow"/>
      <family val="2"/>
    </font>
    <font>
      <b/>
      <sz val="14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0" fillId="0" borderId="2" xfId="0" applyBorder="1"/>
    <xf numFmtId="164" fontId="0" fillId="0" borderId="3" xfId="0" applyNumberForma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6" xfId="0" applyBorder="1"/>
    <xf numFmtId="0" fontId="1" fillId="2" borderId="7" xfId="0" applyFont="1" applyFill="1" applyBorder="1"/>
    <xf numFmtId="0" fontId="1" fillId="2" borderId="5" xfId="0" applyFont="1" applyFill="1" applyBorder="1"/>
    <xf numFmtId="164" fontId="2" fillId="2" borderId="5" xfId="0" applyNumberFormat="1" applyFont="1" applyFill="1" applyBorder="1" applyAlignment="1">
      <alignment horizontal="center" vertical="center" wrapText="1"/>
    </xf>
    <xf numFmtId="164" fontId="0" fillId="0" borderId="3" xfId="0" applyNumberFormat="1" applyBorder="1" applyAlignment="1">
      <alignment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9" fontId="0" fillId="0" borderId="4" xfId="0" applyNumberFormat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164" fontId="1" fillId="2" borderId="10" xfId="0" applyNumberFormat="1" applyFont="1" applyFill="1" applyBorder="1"/>
    <xf numFmtId="164" fontId="0" fillId="2" borderId="13" xfId="0" applyNumberFormat="1" applyFill="1" applyBorder="1"/>
    <xf numFmtId="164" fontId="0" fillId="2" borderId="12" xfId="0" applyNumberFormat="1" applyFill="1" applyBorder="1"/>
    <xf numFmtId="0" fontId="0" fillId="2" borderId="12" xfId="0" applyFill="1" applyBorder="1"/>
    <xf numFmtId="0" fontId="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2769-6619-478C-BAC5-68CA68B3C820}">
  <sheetPr>
    <tabColor rgb="FFFF0000"/>
  </sheetPr>
  <dimension ref="A1:G44"/>
  <sheetViews>
    <sheetView tabSelected="1" topLeftCell="A12" workbookViewId="0">
      <selection activeCell="J24" sqref="J24"/>
    </sheetView>
  </sheetViews>
  <sheetFormatPr defaultRowHeight="14.4" x14ac:dyDescent="0.3"/>
  <cols>
    <col min="1" max="1" width="70.5546875" bestFit="1" customWidth="1"/>
    <col min="2" max="2" width="14.77734375" style="1" bestFit="1" customWidth="1"/>
    <col min="3" max="3" width="8.21875" customWidth="1"/>
    <col min="4" max="7" width="13.77734375" bestFit="1" customWidth="1"/>
  </cols>
  <sheetData>
    <row r="1" spans="1:4" ht="21.6" thickBot="1" x14ac:dyDescent="0.35">
      <c r="A1" s="29" t="s">
        <v>21</v>
      </c>
      <c r="B1" s="29"/>
      <c r="C1" s="29"/>
    </row>
    <row r="2" spans="1:4" ht="18.600000000000001" thickBot="1" x14ac:dyDescent="0.35">
      <c r="A2" s="30" t="s">
        <v>22</v>
      </c>
      <c r="B2" s="30"/>
      <c r="C2" s="31"/>
      <c r="D2" s="10"/>
    </row>
    <row r="3" spans="1:4" x14ac:dyDescent="0.3">
      <c r="A3" s="2" t="s">
        <v>10</v>
      </c>
      <c r="B3" s="1">
        <v>9000000</v>
      </c>
      <c r="D3" s="10"/>
    </row>
    <row r="4" spans="1:4" x14ac:dyDescent="0.3">
      <c r="A4" s="2" t="s">
        <v>12</v>
      </c>
      <c r="B4" s="1" t="s">
        <v>11</v>
      </c>
      <c r="D4" s="10"/>
    </row>
    <row r="5" spans="1:4" x14ac:dyDescent="0.3">
      <c r="A5" s="2" t="s">
        <v>4</v>
      </c>
      <c r="D5" s="10"/>
    </row>
    <row r="6" spans="1:4" x14ac:dyDescent="0.3">
      <c r="A6" s="3" t="s">
        <v>5</v>
      </c>
      <c r="D6" s="10"/>
    </row>
    <row r="7" spans="1:4" x14ac:dyDescent="0.3">
      <c r="A7" s="3" t="s">
        <v>20</v>
      </c>
      <c r="D7" s="10"/>
    </row>
    <row r="8" spans="1:4" x14ac:dyDescent="0.3">
      <c r="A8" s="3" t="s">
        <v>6</v>
      </c>
      <c r="D8" s="10"/>
    </row>
    <row r="9" spans="1:4" x14ac:dyDescent="0.3">
      <c r="A9" s="3" t="s">
        <v>19</v>
      </c>
      <c r="D9" s="10"/>
    </row>
    <row r="10" spans="1:4" x14ac:dyDescent="0.3">
      <c r="A10" s="3"/>
      <c r="D10" s="10"/>
    </row>
    <row r="11" spans="1:4" x14ac:dyDescent="0.3">
      <c r="A11" s="6" t="s">
        <v>13</v>
      </c>
      <c r="D11" s="10"/>
    </row>
    <row r="12" spans="1:4" x14ac:dyDescent="0.3">
      <c r="A12" s="9" t="s">
        <v>18</v>
      </c>
      <c r="D12" s="10"/>
    </row>
    <row r="13" spans="1:4" x14ac:dyDescent="0.3">
      <c r="A13" s="7" t="s">
        <v>15</v>
      </c>
      <c r="D13" s="10"/>
    </row>
    <row r="14" spans="1:4" x14ac:dyDescent="0.3">
      <c r="A14" s="7" t="s">
        <v>16</v>
      </c>
      <c r="D14" s="10"/>
    </row>
    <row r="15" spans="1:4" x14ac:dyDescent="0.3">
      <c r="A15" s="7"/>
      <c r="D15" s="10"/>
    </row>
    <row r="16" spans="1:4" x14ac:dyDescent="0.3">
      <c r="A16" s="6" t="s">
        <v>14</v>
      </c>
      <c r="D16" s="10"/>
    </row>
    <row r="17" spans="1:7" ht="43.2" x14ac:dyDescent="0.3">
      <c r="A17" s="8" t="s">
        <v>17</v>
      </c>
      <c r="D17" s="10"/>
    </row>
    <row r="18" spans="1:7" x14ac:dyDescent="0.3">
      <c r="A18" s="3"/>
      <c r="D18" s="15"/>
    </row>
    <row r="19" spans="1:7" ht="15.6" x14ac:dyDescent="0.3">
      <c r="A19" s="20" t="s">
        <v>0</v>
      </c>
      <c r="B19" s="18" t="s">
        <v>1</v>
      </c>
      <c r="C19" s="21" t="s">
        <v>2</v>
      </c>
      <c r="D19" s="16" t="s">
        <v>27</v>
      </c>
      <c r="E19" s="17" t="s">
        <v>28</v>
      </c>
      <c r="F19" s="17" t="s">
        <v>29</v>
      </c>
      <c r="G19" s="17" t="s">
        <v>26</v>
      </c>
    </row>
    <row r="20" spans="1:7" x14ac:dyDescent="0.3">
      <c r="A20" s="22"/>
      <c r="B20" s="19"/>
      <c r="C20" s="23"/>
      <c r="D20" s="14"/>
      <c r="E20" s="12"/>
      <c r="F20" s="12"/>
      <c r="G20" s="12"/>
    </row>
    <row r="21" spans="1:7" x14ac:dyDescent="0.3">
      <c r="A21" s="22" t="s">
        <v>23</v>
      </c>
      <c r="B21" s="19">
        <f>C21*B3</f>
        <v>1980000</v>
      </c>
      <c r="C21" s="23">
        <v>0.22</v>
      </c>
      <c r="D21" s="13">
        <f>B21*25%</f>
        <v>495000</v>
      </c>
      <c r="E21" s="11">
        <f>B21*25%</f>
        <v>495000</v>
      </c>
      <c r="F21" s="11">
        <f>B21*25%</f>
        <v>495000</v>
      </c>
      <c r="G21" s="11">
        <f>B21*25%</f>
        <v>495000</v>
      </c>
    </row>
    <row r="22" spans="1:7" x14ac:dyDescent="0.3">
      <c r="A22" s="22" t="s">
        <v>30</v>
      </c>
      <c r="B22" s="19">
        <f>C22*B3</f>
        <v>360000</v>
      </c>
      <c r="C22" s="23">
        <v>0.04</v>
      </c>
      <c r="D22" s="13">
        <f>B22*70%</f>
        <v>251999.99999999997</v>
      </c>
      <c r="E22" s="11">
        <f>B22*20%</f>
        <v>72000</v>
      </c>
      <c r="F22" s="11">
        <f>B22*10%</f>
        <v>36000</v>
      </c>
      <c r="G22" s="11">
        <f>B22*0%</f>
        <v>0</v>
      </c>
    </row>
    <row r="23" spans="1:7" x14ac:dyDescent="0.3">
      <c r="A23" s="22" t="s">
        <v>24</v>
      </c>
      <c r="B23" s="19">
        <f>C23*B3</f>
        <v>1080000</v>
      </c>
      <c r="C23" s="23">
        <v>0.12</v>
      </c>
      <c r="D23" s="13">
        <f>B23*25%</f>
        <v>270000</v>
      </c>
      <c r="E23" s="11">
        <f>B23*25%</f>
        <v>270000</v>
      </c>
      <c r="F23" s="11">
        <f>B23*25%</f>
        <v>270000</v>
      </c>
      <c r="G23" s="11">
        <f>B23*25%</f>
        <v>270000</v>
      </c>
    </row>
    <row r="24" spans="1:7" x14ac:dyDescent="0.3">
      <c r="A24" s="22" t="s">
        <v>3</v>
      </c>
      <c r="B24" s="19">
        <f>C24*B3</f>
        <v>900000</v>
      </c>
      <c r="C24" s="23">
        <v>0.1</v>
      </c>
      <c r="D24" s="13">
        <f>B24*60%</f>
        <v>540000</v>
      </c>
      <c r="E24" s="11">
        <f>B24*40%</f>
        <v>360000</v>
      </c>
      <c r="F24" s="11">
        <f>B24*0%</f>
        <v>0</v>
      </c>
      <c r="G24" s="11">
        <f>B24*0%</f>
        <v>0</v>
      </c>
    </row>
    <row r="25" spans="1:7" x14ac:dyDescent="0.3">
      <c r="A25" s="22" t="s">
        <v>25</v>
      </c>
      <c r="B25" s="19">
        <f>C25*B3</f>
        <v>900000</v>
      </c>
      <c r="C25" s="23">
        <v>0.1</v>
      </c>
      <c r="D25" s="13">
        <f>B25*60%</f>
        <v>540000</v>
      </c>
      <c r="E25" s="11">
        <f>B25*40%</f>
        <v>360000</v>
      </c>
      <c r="F25" s="11">
        <f>B25*0%</f>
        <v>0</v>
      </c>
      <c r="G25" s="11">
        <f>B25*0%</f>
        <v>0</v>
      </c>
    </row>
    <row r="26" spans="1:7" x14ac:dyDescent="0.3">
      <c r="A26" s="22" t="s">
        <v>8</v>
      </c>
      <c r="B26" s="19">
        <f>C26*B3</f>
        <v>900000</v>
      </c>
      <c r="C26" s="23">
        <v>0.1</v>
      </c>
      <c r="D26" s="13">
        <f>B26*30%</f>
        <v>270000</v>
      </c>
      <c r="E26" s="11">
        <f>B26*30%</f>
        <v>270000</v>
      </c>
      <c r="F26" s="11">
        <f>B26*30%</f>
        <v>270000</v>
      </c>
      <c r="G26" s="11">
        <f>B26*10%</f>
        <v>90000</v>
      </c>
    </row>
    <row r="27" spans="1:7" x14ac:dyDescent="0.3">
      <c r="A27" s="22" t="s">
        <v>31</v>
      </c>
      <c r="B27" s="19">
        <f>C27*B3</f>
        <v>1980000</v>
      </c>
      <c r="C27" s="23">
        <v>0.22</v>
      </c>
      <c r="D27" s="13">
        <f>B27*50%</f>
        <v>990000</v>
      </c>
      <c r="E27" s="11">
        <f>B27*30%</f>
        <v>594000</v>
      </c>
      <c r="F27" s="11">
        <f>B27*0%</f>
        <v>0</v>
      </c>
      <c r="G27" s="11">
        <f>B27*20%</f>
        <v>396000</v>
      </c>
    </row>
    <row r="28" spans="1:7" x14ac:dyDescent="0.3">
      <c r="A28" s="22" t="s">
        <v>9</v>
      </c>
      <c r="B28" s="19">
        <f>C28*B3</f>
        <v>900000</v>
      </c>
      <c r="C28" s="23">
        <v>0.1</v>
      </c>
      <c r="D28" s="13">
        <f>B28*50%</f>
        <v>450000</v>
      </c>
      <c r="E28" s="11">
        <f>B28*30%</f>
        <v>270000</v>
      </c>
      <c r="F28" s="11">
        <f>B28*0%</f>
        <v>0</v>
      </c>
      <c r="G28" s="11">
        <f>B28*20%</f>
        <v>180000</v>
      </c>
    </row>
    <row r="29" spans="1:7" x14ac:dyDescent="0.3">
      <c r="A29" s="22"/>
      <c r="B29" s="19"/>
      <c r="C29" s="23"/>
      <c r="D29" s="14"/>
      <c r="E29" s="12"/>
      <c r="F29" s="12"/>
      <c r="G29" s="12"/>
    </row>
    <row r="30" spans="1:7" ht="15" thickBot="1" x14ac:dyDescent="0.35">
      <c r="A30" s="24" t="s">
        <v>7</v>
      </c>
      <c r="B30" s="25">
        <f>SUM(B20:B29)</f>
        <v>9000000</v>
      </c>
      <c r="C30" s="28"/>
      <c r="D30" s="26">
        <f>SUM(D20:D29)</f>
        <v>3807000</v>
      </c>
      <c r="E30" s="26">
        <f>SUM(E20:E29)</f>
        <v>2691000</v>
      </c>
      <c r="F30" s="26">
        <f>SUM(F20:F29)</f>
        <v>1071000</v>
      </c>
      <c r="G30" s="27">
        <f>SUM(G20:G29)</f>
        <v>1431000</v>
      </c>
    </row>
    <row r="31" spans="1:7" ht="15" thickTop="1" x14ac:dyDescent="0.3"/>
    <row r="34" spans="1:1" ht="18" x14ac:dyDescent="0.3">
      <c r="A34" s="4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3"/>
    </row>
    <row r="40" spans="1:1" x14ac:dyDescent="0.3">
      <c r="A40" s="5"/>
    </row>
    <row r="41" spans="1:1" x14ac:dyDescent="0.3">
      <c r="A41" s="3"/>
    </row>
    <row r="42" spans="1:1" x14ac:dyDescent="0.3">
      <c r="A42" s="5"/>
    </row>
    <row r="44" spans="1:1" x14ac:dyDescent="0.3">
      <c r="A44" s="2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Wholesale Focused Approach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Bafana Sibiya</dc:creator>
  <cp:lastModifiedBy>Bafana Sibiya</cp:lastModifiedBy>
  <dcterms:created xsi:type="dcterms:W3CDTF">2026-03-05T07:11:39Z</dcterms:created>
  <dcterms:modified xsi:type="dcterms:W3CDTF">2026-04-16T13:33:01Z</dcterms:modified>
</cp:coreProperties>
</file>