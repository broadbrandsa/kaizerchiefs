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sgitsupport-my.sharepoint.com/personal/edwardw_mvne_co_za/Documents/1 DSG/1 Clients/Kaizer Chiefs/"/>
    </mc:Choice>
  </mc:AlternateContent>
  <xr:revisionPtr revIDLastSave="30" documentId="8_{0DA6FB09-C5C8-43FB-8977-FFA4FDDE8778}" xr6:coauthVersionLast="47" xr6:coauthVersionMax="47" xr10:uidLastSave="{BEF57C0F-082E-4476-8301-02084951D3F8}"/>
  <bookViews>
    <workbookView xWindow="-120" yWindow="-120" windowWidth="20730" windowHeight="11310" xr2:uid="{93737C62-9BC8-49EC-BCCC-9058BBB45EF1}"/>
  </bookViews>
  <sheets>
    <sheet name="Calculations" sheetId="1" r:id="rId1"/>
    <sheet name="Annual Calculations" sheetId="6" r:id="rId2"/>
    <sheet name="Graphs" sheetId="4" r:id="rId3"/>
    <sheet name="Packages" sheetId="2" r:id="rId4"/>
    <sheet name="Bundles" sheetId="3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K51" i="1"/>
  <c r="L51" i="1" s="1"/>
  <c r="M51" i="1" s="1"/>
  <c r="N51" i="1" s="1"/>
  <c r="O51" i="1" s="1"/>
  <c r="P51" i="1" s="1"/>
  <c r="Q51" i="1" s="1"/>
  <c r="R51" i="1" s="1"/>
  <c r="I51" i="1"/>
  <c r="H51" i="1"/>
  <c r="G51" i="1"/>
  <c r="E42" i="1" l="1"/>
  <c r="S57" i="1"/>
  <c r="T57" i="1"/>
  <c r="U57" i="1" s="1"/>
  <c r="V57" i="1" s="1"/>
  <c r="BQ68" i="1"/>
  <c r="T53" i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G53" i="1" s="1"/>
  <c r="AH53" i="1" s="1"/>
  <c r="AI53" i="1" s="1"/>
  <c r="AJ53" i="1" s="1"/>
  <c r="AK53" i="1" s="1"/>
  <c r="AL53" i="1" s="1"/>
  <c r="AM53" i="1" s="1"/>
  <c r="AN53" i="1" s="1"/>
  <c r="AO53" i="1" s="1"/>
  <c r="AP53" i="1" s="1"/>
  <c r="AQ53" i="1" s="1"/>
  <c r="S53" i="1"/>
  <c r="AR53" i="1" l="1"/>
  <c r="AS53" i="1"/>
  <c r="AT53" i="1" s="1"/>
  <c r="AU53" i="1" s="1"/>
  <c r="AV53" i="1" s="1"/>
  <c r="AW53" i="1" s="1"/>
  <c r="AX53" i="1" s="1"/>
  <c r="AY53" i="1" s="1"/>
  <c r="AZ53" i="1" s="1"/>
  <c r="BA53" i="1" s="1"/>
  <c r="BB53" i="1" s="1"/>
  <c r="BC53" i="1" s="1"/>
  <c r="W57" i="1"/>
  <c r="X57" i="1" s="1"/>
  <c r="Y57" i="1" s="1"/>
  <c r="Z57" i="1" s="1"/>
  <c r="AA57" i="1" s="1"/>
  <c r="AB57" i="1" s="1"/>
  <c r="AC57" i="1" s="1"/>
  <c r="AD57" i="1" s="1"/>
  <c r="AE57" i="1" s="1"/>
  <c r="AG57" i="1" s="1"/>
  <c r="H26" i="1"/>
  <c r="I26" i="1"/>
  <c r="J26" i="1"/>
  <c r="K26" i="1"/>
  <c r="L26" i="1"/>
  <c r="M26" i="1"/>
  <c r="N26" i="1"/>
  <c r="O26" i="1"/>
  <c r="P26" i="1"/>
  <c r="Q26" i="1"/>
  <c r="R26" i="1"/>
  <c r="T26" i="1"/>
  <c r="U26" i="1"/>
  <c r="V26" i="1"/>
  <c r="W26" i="1"/>
  <c r="X26" i="1"/>
  <c r="Y26" i="1"/>
  <c r="Z26" i="1"/>
  <c r="AA26" i="1"/>
  <c r="AB26" i="1"/>
  <c r="AC26" i="1"/>
  <c r="AD26" i="1"/>
  <c r="AE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G26" i="1"/>
  <c r="U48" i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U47" i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U46" i="1"/>
  <c r="V46" i="1" s="1"/>
  <c r="W46" i="1" s="1"/>
  <c r="T50" i="1"/>
  <c r="T45" i="1"/>
  <c r="U45" i="1" s="1"/>
  <c r="V45" i="1" s="1"/>
  <c r="W45" i="1" s="1"/>
  <c r="AF51" i="1"/>
  <c r="AF34" i="1"/>
  <c r="BQ34" i="1" s="1"/>
  <c r="R47" i="1"/>
  <c r="Q47" i="1"/>
  <c r="P47" i="1"/>
  <c r="O47" i="1"/>
  <c r="N47" i="1"/>
  <c r="M47" i="1"/>
  <c r="L47" i="1"/>
  <c r="K47" i="1"/>
  <c r="J47" i="1"/>
  <c r="I47" i="1"/>
  <c r="H47" i="1"/>
  <c r="G47" i="1"/>
  <c r="S51" i="1"/>
  <c r="S63" i="1"/>
  <c r="S62" i="1"/>
  <c r="S61" i="1" s="1"/>
  <c r="S60" i="1"/>
  <c r="S59" i="1"/>
  <c r="S50" i="1"/>
  <c r="S46" i="1"/>
  <c r="S45" i="1"/>
  <c r="S36" i="1"/>
  <c r="G8" i="1"/>
  <c r="S6" i="1"/>
  <c r="BQ6" i="1" s="1"/>
  <c r="BQ51" i="1" l="1"/>
  <c r="S26" i="1"/>
  <c r="BQ26" i="1" s="1"/>
  <c r="T43" i="1"/>
  <c r="BD53" i="1"/>
  <c r="BE53" i="1"/>
  <c r="BF53" i="1" s="1"/>
  <c r="BG53" i="1" s="1"/>
  <c r="BH53" i="1" s="1"/>
  <c r="BI53" i="1" s="1"/>
  <c r="BJ53" i="1" s="1"/>
  <c r="BK53" i="1" s="1"/>
  <c r="BL53" i="1" s="1"/>
  <c r="BM53" i="1" s="1"/>
  <c r="BN53" i="1" s="1"/>
  <c r="BO53" i="1" s="1"/>
  <c r="BP53" i="1" s="1"/>
  <c r="AF57" i="1"/>
  <c r="AH57" i="1"/>
  <c r="AI57" i="1" s="1"/>
  <c r="AJ57" i="1" s="1"/>
  <c r="AK57" i="1" s="1"/>
  <c r="AL57" i="1" s="1"/>
  <c r="AM57" i="1" s="1"/>
  <c r="AN57" i="1" s="1"/>
  <c r="AO57" i="1" s="1"/>
  <c r="AP57" i="1" s="1"/>
  <c r="AQ57" i="1" s="1"/>
  <c r="AR57" i="1" s="1"/>
  <c r="BU57" i="1"/>
  <c r="AF53" i="1"/>
  <c r="U50" i="1"/>
  <c r="AF48" i="1"/>
  <c r="AF47" i="1"/>
  <c r="X46" i="1"/>
  <c r="Y46" i="1" s="1"/>
  <c r="Z46" i="1" s="1"/>
  <c r="AA46" i="1" s="1"/>
  <c r="AB46" i="1" s="1"/>
  <c r="AC46" i="1" s="1"/>
  <c r="AD46" i="1" s="1"/>
  <c r="AE46" i="1" s="1"/>
  <c r="AF46" i="1" s="1"/>
  <c r="BQ46" i="1" s="1"/>
  <c r="X45" i="1"/>
  <c r="S47" i="1"/>
  <c r="S58" i="1"/>
  <c r="G10" i="1"/>
  <c r="S7" i="1"/>
  <c r="BQ7" i="1" s="1"/>
  <c r="G13" i="1"/>
  <c r="A59" i="6"/>
  <c r="A63" i="6" s="1"/>
  <c r="BQ53" i="1" l="1"/>
  <c r="BQ47" i="1"/>
  <c r="BV57" i="1"/>
  <c r="BQ57" i="1"/>
  <c r="H5" i="1"/>
  <c r="H8" i="1" s="1"/>
  <c r="G42" i="1"/>
  <c r="V50" i="1"/>
  <c r="U43" i="1"/>
  <c r="Y45" i="1"/>
  <c r="A64" i="6"/>
  <c r="T63" i="1"/>
  <c r="T62" i="1"/>
  <c r="Q61" i="1"/>
  <c r="R61" i="1"/>
  <c r="P61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H9" i="1" l="1"/>
  <c r="H10" i="1" s="1"/>
  <c r="I5" i="1" s="1"/>
  <c r="I9" i="1" s="1"/>
  <c r="U62" i="1"/>
  <c r="V43" i="1"/>
  <c r="W50" i="1"/>
  <c r="Z45" i="1"/>
  <c r="S44" i="1"/>
  <c r="BQ44" i="1" s="1"/>
  <c r="U63" i="1"/>
  <c r="T61" i="1"/>
  <c r="V62" i="1"/>
  <c r="BT36" i="1"/>
  <c r="T36" i="1"/>
  <c r="BT59" i="1"/>
  <c r="BT60" i="1"/>
  <c r="BT61" i="1"/>
  <c r="T35" i="1"/>
  <c r="G35" i="1"/>
  <c r="S35" i="1" s="1"/>
  <c r="G16" i="1"/>
  <c r="G14" i="1"/>
  <c r="H13" i="1"/>
  <c r="I13" i="1"/>
  <c r="J13" i="1"/>
  <c r="K13" i="1"/>
  <c r="L13" i="1"/>
  <c r="M13" i="1"/>
  <c r="N13" i="1"/>
  <c r="O13" i="1"/>
  <c r="P13" i="1"/>
  <c r="Q13" i="1"/>
  <c r="R13" i="1"/>
  <c r="T13" i="1"/>
  <c r="U13" i="1"/>
  <c r="V13" i="1"/>
  <c r="W13" i="1"/>
  <c r="X13" i="1"/>
  <c r="Y13" i="1"/>
  <c r="Z13" i="1"/>
  <c r="AA13" i="1"/>
  <c r="AB13" i="1"/>
  <c r="AC13" i="1"/>
  <c r="AD13" i="1"/>
  <c r="AE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H32" i="1"/>
  <c r="I32" i="1"/>
  <c r="J32" i="1"/>
  <c r="K32" i="1"/>
  <c r="L32" i="1"/>
  <c r="M32" i="1"/>
  <c r="N32" i="1"/>
  <c r="O32" i="1"/>
  <c r="P32" i="1"/>
  <c r="Q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G32" i="1"/>
  <c r="G31" i="1"/>
  <c r="I31" i="1"/>
  <c r="J31" i="1"/>
  <c r="K31" i="1"/>
  <c r="L31" i="1"/>
  <c r="M31" i="1"/>
  <c r="N31" i="1"/>
  <c r="O31" i="1"/>
  <c r="P31" i="1"/>
  <c r="Q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H31" i="1"/>
  <c r="H33" i="1"/>
  <c r="I33" i="1"/>
  <c r="J33" i="1"/>
  <c r="K33" i="1"/>
  <c r="L33" i="1"/>
  <c r="M33" i="1"/>
  <c r="N33" i="1"/>
  <c r="O33" i="1"/>
  <c r="P33" i="1"/>
  <c r="Q33" i="1"/>
  <c r="R33" i="1"/>
  <c r="T33" i="1"/>
  <c r="U33" i="1"/>
  <c r="V33" i="1"/>
  <c r="W33" i="1"/>
  <c r="X33" i="1"/>
  <c r="Y33" i="1"/>
  <c r="Z33" i="1"/>
  <c r="AA33" i="1"/>
  <c r="AB33" i="1"/>
  <c r="AC33" i="1"/>
  <c r="AD33" i="1"/>
  <c r="AE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G33" i="1"/>
  <c r="T60" i="1"/>
  <c r="I8" i="1" l="1"/>
  <c r="I10" i="1" s="1"/>
  <c r="J5" i="1" s="1"/>
  <c r="S32" i="1"/>
  <c r="W43" i="1"/>
  <c r="X50" i="1"/>
  <c r="U35" i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AF33" i="1"/>
  <c r="AF32" i="1"/>
  <c r="BQ32" i="1" s="1"/>
  <c r="BY32" i="1" s="1"/>
  <c r="AF31" i="1"/>
  <c r="S33" i="1"/>
  <c r="AF13" i="1"/>
  <c r="AA45" i="1"/>
  <c r="S31" i="1"/>
  <c r="S13" i="1"/>
  <c r="V63" i="1"/>
  <c r="U61" i="1"/>
  <c r="W62" i="1"/>
  <c r="BT13" i="1"/>
  <c r="BW13" i="1"/>
  <c r="BU13" i="1"/>
  <c r="BV13" i="1"/>
  <c r="BX13" i="1"/>
  <c r="BU33" i="1"/>
  <c r="BT32" i="1"/>
  <c r="BW32" i="1"/>
  <c r="BU32" i="1"/>
  <c r="BT33" i="1"/>
  <c r="BW33" i="1"/>
  <c r="BV33" i="1"/>
  <c r="BX33" i="1"/>
  <c r="BX32" i="1"/>
  <c r="BV32" i="1"/>
  <c r="U36" i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G36" i="1" s="1"/>
  <c r="G18" i="1"/>
  <c r="G48" i="1" s="1"/>
  <c r="G43" i="1" s="1"/>
  <c r="H15" i="1"/>
  <c r="G17" i="1"/>
  <c r="G15" i="1"/>
  <c r="G22" i="1"/>
  <c r="G30" i="1"/>
  <c r="U60" i="1"/>
  <c r="H58" i="1"/>
  <c r="I58" i="1"/>
  <c r="J58" i="1"/>
  <c r="K58" i="1"/>
  <c r="L58" i="1"/>
  <c r="M58" i="1"/>
  <c r="N58" i="1"/>
  <c r="O58" i="1"/>
  <c r="P58" i="1"/>
  <c r="Q58" i="1"/>
  <c r="T59" i="1"/>
  <c r="G58" i="1"/>
  <c r="H56" i="1"/>
  <c r="I56" i="1"/>
  <c r="J56" i="1"/>
  <c r="K56" i="1"/>
  <c r="L56" i="1"/>
  <c r="M56" i="1"/>
  <c r="N56" i="1"/>
  <c r="O56" i="1"/>
  <c r="P56" i="1"/>
  <c r="Q56" i="1"/>
  <c r="R56" i="1"/>
  <c r="T56" i="1" s="1"/>
  <c r="G56" i="1"/>
  <c r="H55" i="1"/>
  <c r="I55" i="1"/>
  <c r="J55" i="1"/>
  <c r="K55" i="1"/>
  <c r="L55" i="1"/>
  <c r="M55" i="1"/>
  <c r="N55" i="1"/>
  <c r="O55" i="1"/>
  <c r="P55" i="1"/>
  <c r="Q55" i="1"/>
  <c r="R55" i="1"/>
  <c r="T55" i="1" s="1"/>
  <c r="G55" i="1"/>
  <c r="H54" i="1"/>
  <c r="I54" i="1"/>
  <c r="J54" i="1"/>
  <c r="K54" i="1"/>
  <c r="L54" i="1"/>
  <c r="M54" i="1"/>
  <c r="N54" i="1"/>
  <c r="O54" i="1"/>
  <c r="P54" i="1"/>
  <c r="Q54" i="1"/>
  <c r="R54" i="1"/>
  <c r="T54" i="1" s="1"/>
  <c r="G54" i="1"/>
  <c r="G52" i="1" s="1"/>
  <c r="H14" i="1"/>
  <c r="I14" i="1"/>
  <c r="J14" i="1"/>
  <c r="K14" i="1"/>
  <c r="L14" i="1"/>
  <c r="M14" i="1"/>
  <c r="N14" i="1"/>
  <c r="O14" i="1"/>
  <c r="P14" i="1"/>
  <c r="Q14" i="1"/>
  <c r="R14" i="1"/>
  <c r="T14" i="1"/>
  <c r="U14" i="1"/>
  <c r="V14" i="1"/>
  <c r="W14" i="1"/>
  <c r="X14" i="1"/>
  <c r="Y14" i="1"/>
  <c r="Z14" i="1"/>
  <c r="AA14" i="1"/>
  <c r="AB14" i="1"/>
  <c r="AC14" i="1"/>
  <c r="AD14" i="1"/>
  <c r="AE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F65" i="1"/>
  <c r="BQ33" i="1" l="1"/>
  <c r="BY33" i="1" s="1"/>
  <c r="BQ31" i="1"/>
  <c r="G40" i="1"/>
  <c r="BQ13" i="1"/>
  <c r="AF35" i="1"/>
  <c r="BQ35" i="1" s="1"/>
  <c r="AF36" i="1"/>
  <c r="AF14" i="1"/>
  <c r="S56" i="1"/>
  <c r="S55" i="1"/>
  <c r="Y50" i="1"/>
  <c r="X43" i="1"/>
  <c r="AB45" i="1"/>
  <c r="S54" i="1"/>
  <c r="J8" i="1"/>
  <c r="J9" i="1"/>
  <c r="S14" i="1"/>
  <c r="W63" i="1"/>
  <c r="V61" i="1"/>
  <c r="G19" i="1"/>
  <c r="X62" i="1"/>
  <c r="BT14" i="1"/>
  <c r="BW14" i="1"/>
  <c r="BU14" i="1"/>
  <c r="BX14" i="1"/>
  <c r="BV14" i="1"/>
  <c r="H18" i="1"/>
  <c r="H48" i="1" s="1"/>
  <c r="H43" i="1" s="1"/>
  <c r="H42" i="1"/>
  <c r="H16" i="1"/>
  <c r="BT55" i="1"/>
  <c r="AH36" i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H17" i="1"/>
  <c r="BU36" i="1"/>
  <c r="I42" i="1"/>
  <c r="U55" i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G55" i="1" s="1"/>
  <c r="U59" i="1"/>
  <c r="V59" i="1" s="1"/>
  <c r="W59" i="1" s="1"/>
  <c r="X59" i="1" s="1"/>
  <c r="Y59" i="1" s="1"/>
  <c r="Z59" i="1" s="1"/>
  <c r="AA59" i="1" s="1"/>
  <c r="AB59" i="1" s="1"/>
  <c r="AC59" i="1" s="1"/>
  <c r="AD59" i="1" s="1"/>
  <c r="AE59" i="1" s="1"/>
  <c r="AG59" i="1" s="1"/>
  <c r="BT54" i="1"/>
  <c r="BT56" i="1"/>
  <c r="U54" i="1"/>
  <c r="V54" i="1" s="1"/>
  <c r="U56" i="1"/>
  <c r="V56" i="1" s="1"/>
  <c r="W56" i="1" s="1"/>
  <c r="X56" i="1" s="1"/>
  <c r="Y56" i="1" s="1"/>
  <c r="H22" i="1"/>
  <c r="T58" i="1"/>
  <c r="V60" i="1"/>
  <c r="M52" i="1"/>
  <c r="L52" i="1"/>
  <c r="R58" i="1"/>
  <c r="BT58" i="1" s="1"/>
  <c r="O52" i="1"/>
  <c r="N52" i="1"/>
  <c r="Q52" i="1"/>
  <c r="I52" i="1"/>
  <c r="P52" i="1"/>
  <c r="H52" i="1"/>
  <c r="K52" i="1"/>
  <c r="R52" i="1"/>
  <c r="J52" i="1"/>
  <c r="T52" i="1"/>
  <c r="H40" i="1" l="1"/>
  <c r="BQ14" i="1"/>
  <c r="Z50" i="1"/>
  <c r="Y43" i="1"/>
  <c r="AF59" i="1"/>
  <c r="AF55" i="1"/>
  <c r="AC45" i="1"/>
  <c r="X63" i="1"/>
  <c r="Y63" i="1" s="1"/>
  <c r="Z63" i="1" s="1"/>
  <c r="AA63" i="1" s="1"/>
  <c r="AB63" i="1" s="1"/>
  <c r="AC63" i="1" s="1"/>
  <c r="AD63" i="1" s="1"/>
  <c r="AE63" i="1" s="1"/>
  <c r="AG63" i="1" s="1"/>
  <c r="AH63" i="1" s="1"/>
  <c r="AI63" i="1" s="1"/>
  <c r="AJ63" i="1" s="1"/>
  <c r="AK63" i="1" s="1"/>
  <c r="AL63" i="1" s="1"/>
  <c r="AM63" i="1" s="1"/>
  <c r="AN63" i="1" s="1"/>
  <c r="AO63" i="1" s="1"/>
  <c r="AP63" i="1" s="1"/>
  <c r="AQ63" i="1" s="1"/>
  <c r="AR63" i="1" s="1"/>
  <c r="AS63" i="1" s="1"/>
  <c r="AT63" i="1" s="1"/>
  <c r="AU63" i="1" s="1"/>
  <c r="AV63" i="1" s="1"/>
  <c r="AW63" i="1" s="1"/>
  <c r="AX63" i="1" s="1"/>
  <c r="AY63" i="1" s="1"/>
  <c r="AZ63" i="1" s="1"/>
  <c r="BA63" i="1" s="1"/>
  <c r="BB63" i="1" s="1"/>
  <c r="BC63" i="1" s="1"/>
  <c r="BD63" i="1" s="1"/>
  <c r="BE63" i="1" s="1"/>
  <c r="BF63" i="1" s="1"/>
  <c r="BG63" i="1" s="1"/>
  <c r="BH63" i="1" s="1"/>
  <c r="BI63" i="1" s="1"/>
  <c r="BJ63" i="1" s="1"/>
  <c r="BK63" i="1" s="1"/>
  <c r="BL63" i="1" s="1"/>
  <c r="BM63" i="1" s="1"/>
  <c r="BN63" i="1" s="1"/>
  <c r="BO63" i="1" s="1"/>
  <c r="BP63" i="1" s="1"/>
  <c r="W61" i="1"/>
  <c r="J10" i="1"/>
  <c r="K5" i="1" s="1"/>
  <c r="K8" i="1" s="1"/>
  <c r="S52" i="1"/>
  <c r="H19" i="1"/>
  <c r="Y62" i="1"/>
  <c r="BU55" i="1"/>
  <c r="BV36" i="1"/>
  <c r="I18" i="1"/>
  <c r="I48" i="1" s="1"/>
  <c r="I43" i="1" s="1"/>
  <c r="I40" i="1" s="1"/>
  <c r="I22" i="1"/>
  <c r="I15" i="1"/>
  <c r="I17" i="1"/>
  <c r="I16" i="1"/>
  <c r="J17" i="1"/>
  <c r="AT36" i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U52" i="1"/>
  <c r="BU59" i="1"/>
  <c r="AH59" i="1"/>
  <c r="AI59" i="1" s="1"/>
  <c r="AJ59" i="1" s="1"/>
  <c r="AK59" i="1" s="1"/>
  <c r="AL59" i="1" s="1"/>
  <c r="AM59" i="1" s="1"/>
  <c r="AN59" i="1" s="1"/>
  <c r="AO59" i="1" s="1"/>
  <c r="AP59" i="1" s="1"/>
  <c r="AQ59" i="1" s="1"/>
  <c r="AR59" i="1" s="1"/>
  <c r="AS59" i="1" s="1"/>
  <c r="BT52" i="1"/>
  <c r="U58" i="1"/>
  <c r="AH55" i="1"/>
  <c r="I30" i="1"/>
  <c r="W60" i="1"/>
  <c r="V58" i="1"/>
  <c r="V52" i="1"/>
  <c r="W54" i="1"/>
  <c r="Z56" i="1"/>
  <c r="H30" i="1"/>
  <c r="K9" i="1" l="1"/>
  <c r="AA50" i="1"/>
  <c r="Z43" i="1"/>
  <c r="AF63" i="1"/>
  <c r="BQ63" i="1" s="1"/>
  <c r="X61" i="1"/>
  <c r="AD45" i="1"/>
  <c r="K10" i="1"/>
  <c r="I19" i="1"/>
  <c r="Y61" i="1"/>
  <c r="Z62" i="1"/>
  <c r="BW36" i="1"/>
  <c r="J42" i="1"/>
  <c r="J16" i="1"/>
  <c r="J15" i="1"/>
  <c r="J22" i="1"/>
  <c r="J18" i="1"/>
  <c r="J48" i="1" s="1"/>
  <c r="J43" i="1" s="1"/>
  <c r="BF36" i="1"/>
  <c r="BG36" i="1" s="1"/>
  <c r="BH36" i="1" s="1"/>
  <c r="BI36" i="1" s="1"/>
  <c r="BJ36" i="1" s="1"/>
  <c r="BK36" i="1" s="1"/>
  <c r="BL36" i="1" s="1"/>
  <c r="BM36" i="1" s="1"/>
  <c r="BN36" i="1" s="1"/>
  <c r="BO36" i="1" s="1"/>
  <c r="BP36" i="1" s="1"/>
  <c r="AI55" i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AU55" i="1" s="1"/>
  <c r="AV55" i="1" s="1"/>
  <c r="AW55" i="1" s="1"/>
  <c r="AX55" i="1" s="1"/>
  <c r="AY55" i="1" s="1"/>
  <c r="AZ55" i="1" s="1"/>
  <c r="BA55" i="1" s="1"/>
  <c r="BB55" i="1" s="1"/>
  <c r="BC55" i="1" s="1"/>
  <c r="BD55" i="1" s="1"/>
  <c r="BE55" i="1" s="1"/>
  <c r="AT59" i="1"/>
  <c r="AU59" i="1" s="1"/>
  <c r="AV59" i="1" s="1"/>
  <c r="AW59" i="1" s="1"/>
  <c r="AX59" i="1" s="1"/>
  <c r="AY59" i="1" s="1"/>
  <c r="AZ59" i="1" s="1"/>
  <c r="BA59" i="1" s="1"/>
  <c r="BB59" i="1" s="1"/>
  <c r="BC59" i="1" s="1"/>
  <c r="BD59" i="1" s="1"/>
  <c r="BE59" i="1" s="1"/>
  <c r="BV59" i="1"/>
  <c r="X60" i="1"/>
  <c r="W58" i="1"/>
  <c r="W52" i="1"/>
  <c r="X54" i="1"/>
  <c r="AA56" i="1"/>
  <c r="J40" i="1" l="1"/>
  <c r="BQ36" i="1"/>
  <c r="AB50" i="1"/>
  <c r="AA43" i="1"/>
  <c r="AE45" i="1"/>
  <c r="L5" i="1"/>
  <c r="K22" i="1"/>
  <c r="J19" i="1"/>
  <c r="Z61" i="1"/>
  <c r="AA62" i="1"/>
  <c r="BX36" i="1"/>
  <c r="K17" i="1"/>
  <c r="K18" i="1"/>
  <c r="K48" i="1" s="1"/>
  <c r="K43" i="1" s="1"/>
  <c r="K16" i="1"/>
  <c r="K42" i="1"/>
  <c r="K15" i="1"/>
  <c r="BV55" i="1"/>
  <c r="BW55" i="1"/>
  <c r="BF55" i="1"/>
  <c r="BW59" i="1"/>
  <c r="BF59" i="1"/>
  <c r="J30" i="1"/>
  <c r="Y60" i="1"/>
  <c r="X58" i="1"/>
  <c r="Y54" i="1"/>
  <c r="X52" i="1"/>
  <c r="AB56" i="1"/>
  <c r="K40" i="1" l="1"/>
  <c r="BG55" i="1"/>
  <c r="BH55" i="1" s="1"/>
  <c r="BI55" i="1" s="1"/>
  <c r="BJ55" i="1" s="1"/>
  <c r="BK55" i="1" s="1"/>
  <c r="BL55" i="1" s="1"/>
  <c r="BM55" i="1" s="1"/>
  <c r="BN55" i="1" s="1"/>
  <c r="BO55" i="1" s="1"/>
  <c r="BP55" i="1" s="1"/>
  <c r="BQ55" i="1"/>
  <c r="BY55" i="1" s="1"/>
  <c r="L9" i="1"/>
  <c r="L8" i="1"/>
  <c r="AC50" i="1"/>
  <c r="AB43" i="1"/>
  <c r="AF45" i="1"/>
  <c r="BQ45" i="1" s="1"/>
  <c r="K19" i="1"/>
  <c r="AA61" i="1"/>
  <c r="AB62" i="1"/>
  <c r="BG59" i="1"/>
  <c r="BH59" i="1" s="1"/>
  <c r="BI59" i="1" s="1"/>
  <c r="BJ59" i="1" s="1"/>
  <c r="BK59" i="1" s="1"/>
  <c r="BL59" i="1" s="1"/>
  <c r="BM59" i="1" s="1"/>
  <c r="BN59" i="1" s="1"/>
  <c r="BO59" i="1" s="1"/>
  <c r="BP59" i="1" s="1"/>
  <c r="BX55" i="1"/>
  <c r="K30" i="1"/>
  <c r="Z60" i="1"/>
  <c r="Y58" i="1"/>
  <c r="Z54" i="1"/>
  <c r="Y52" i="1"/>
  <c r="AC56" i="1"/>
  <c r="BQ59" i="1" l="1"/>
  <c r="BY59" i="1" s="1"/>
  <c r="AD50" i="1"/>
  <c r="AC43" i="1"/>
  <c r="L10" i="1"/>
  <c r="AB61" i="1"/>
  <c r="AC62" i="1"/>
  <c r="BX59" i="1"/>
  <c r="L30" i="1"/>
  <c r="AA60" i="1"/>
  <c r="Z58" i="1"/>
  <c r="AA54" i="1"/>
  <c r="Z52" i="1"/>
  <c r="AD56" i="1"/>
  <c r="AE50" i="1" l="1"/>
  <c r="AD43" i="1"/>
  <c r="M5" i="1"/>
  <c r="L22" i="1"/>
  <c r="L18" i="1"/>
  <c r="L17" i="1"/>
  <c r="L42" i="1"/>
  <c r="L15" i="1"/>
  <c r="L16" i="1"/>
  <c r="AC61" i="1"/>
  <c r="AD62" i="1"/>
  <c r="M30" i="1"/>
  <c r="AB60" i="1"/>
  <c r="AA58" i="1"/>
  <c r="AB54" i="1"/>
  <c r="AA52" i="1"/>
  <c r="AE56" i="1"/>
  <c r="L48" i="1" l="1"/>
  <c r="L43" i="1" s="1"/>
  <c r="L40" i="1" s="1"/>
  <c r="L19" i="1"/>
  <c r="AE43" i="1"/>
  <c r="AF50" i="1"/>
  <c r="BQ50" i="1" s="1"/>
  <c r="M8" i="1"/>
  <c r="M9" i="1"/>
  <c r="BU56" i="1"/>
  <c r="AF56" i="1"/>
  <c r="AD61" i="1"/>
  <c r="AE62" i="1"/>
  <c r="AF62" i="1" s="1"/>
  <c r="N30" i="1"/>
  <c r="AC60" i="1"/>
  <c r="AB58" i="1"/>
  <c r="AC54" i="1"/>
  <c r="AB52" i="1"/>
  <c r="AG56" i="1"/>
  <c r="AF43" i="1" l="1"/>
  <c r="M10" i="1"/>
  <c r="AG62" i="1"/>
  <c r="AE61" i="1"/>
  <c r="AH56" i="1"/>
  <c r="AI56" i="1" s="1"/>
  <c r="AJ56" i="1" s="1"/>
  <c r="AK56" i="1" s="1"/>
  <c r="AL56" i="1" s="1"/>
  <c r="AM56" i="1" s="1"/>
  <c r="AN56" i="1" s="1"/>
  <c r="AO56" i="1" s="1"/>
  <c r="AP56" i="1" s="1"/>
  <c r="AQ56" i="1" s="1"/>
  <c r="O30" i="1"/>
  <c r="AD60" i="1"/>
  <c r="AC58" i="1"/>
  <c r="AD54" i="1"/>
  <c r="AC52" i="1"/>
  <c r="AG43" i="1" l="1"/>
  <c r="BU61" i="1"/>
  <c r="AF61" i="1"/>
  <c r="N5" i="1"/>
  <c r="M15" i="1"/>
  <c r="M22" i="1"/>
  <c r="M18" i="1"/>
  <c r="M16" i="1"/>
  <c r="M42" i="1"/>
  <c r="M17" i="1"/>
  <c r="AG61" i="1"/>
  <c r="AH62" i="1"/>
  <c r="P30" i="1"/>
  <c r="AE60" i="1"/>
  <c r="AD58" i="1"/>
  <c r="AE54" i="1"/>
  <c r="AD52" i="1"/>
  <c r="AR56" i="1"/>
  <c r="BV56" i="1" s="1"/>
  <c r="M48" i="1" l="1"/>
  <c r="M43" i="1" s="1"/>
  <c r="M40" i="1" s="1"/>
  <c r="M19" i="1"/>
  <c r="BU54" i="1"/>
  <c r="AF54" i="1"/>
  <c r="N8" i="1"/>
  <c r="N9" i="1"/>
  <c r="BU60" i="1"/>
  <c r="AF60" i="1"/>
  <c r="AH61" i="1"/>
  <c r="AI62" i="1"/>
  <c r="Q30" i="1"/>
  <c r="AG60" i="1"/>
  <c r="AE58" i="1"/>
  <c r="AS56" i="1"/>
  <c r="AG54" i="1"/>
  <c r="AE52" i="1"/>
  <c r="N10" i="1" l="1"/>
  <c r="BU58" i="1"/>
  <c r="AF58" i="1"/>
  <c r="BU52" i="1"/>
  <c r="AF52" i="1"/>
  <c r="AI61" i="1"/>
  <c r="AJ62" i="1"/>
  <c r="AT56" i="1"/>
  <c r="R30" i="1"/>
  <c r="AH60" i="1"/>
  <c r="AG58" i="1"/>
  <c r="AH54" i="1"/>
  <c r="AG52" i="1"/>
  <c r="AU56" i="1" l="1"/>
  <c r="AV56" i="1" s="1"/>
  <c r="AW56" i="1" s="1"/>
  <c r="AX56" i="1" s="1"/>
  <c r="AY56" i="1" s="1"/>
  <c r="AZ56" i="1" s="1"/>
  <c r="BA56" i="1" s="1"/>
  <c r="BB56" i="1" s="1"/>
  <c r="BC56" i="1" s="1"/>
  <c r="BD56" i="1" s="1"/>
  <c r="BE56" i="1" s="1"/>
  <c r="N18" i="1"/>
  <c r="N15" i="1"/>
  <c r="N17" i="1"/>
  <c r="O5" i="1"/>
  <c r="N16" i="1"/>
  <c r="N42" i="1"/>
  <c r="N22" i="1"/>
  <c r="BT30" i="1"/>
  <c r="S30" i="1"/>
  <c r="AJ61" i="1"/>
  <c r="AK62" i="1"/>
  <c r="BF56" i="1"/>
  <c r="BG56" i="1" s="1"/>
  <c r="BH56" i="1" s="1"/>
  <c r="BI56" i="1" s="1"/>
  <c r="BJ56" i="1" s="1"/>
  <c r="BK56" i="1" s="1"/>
  <c r="BL56" i="1" s="1"/>
  <c r="BM56" i="1" s="1"/>
  <c r="BN56" i="1" s="1"/>
  <c r="BO56" i="1" s="1"/>
  <c r="BP56" i="1" s="1"/>
  <c r="T30" i="1"/>
  <c r="AI60" i="1"/>
  <c r="AH58" i="1"/>
  <c r="AI54" i="1"/>
  <c r="AH52" i="1"/>
  <c r="BQ56" i="1" l="1"/>
  <c r="BY56" i="1" s="1"/>
  <c r="BW56" i="1"/>
  <c r="O8" i="1"/>
  <c r="O9" i="1"/>
  <c r="N48" i="1"/>
  <c r="N43" i="1" s="1"/>
  <c r="N40" i="1" s="1"/>
  <c r="N19" i="1"/>
  <c r="AK61" i="1"/>
  <c r="AL62" i="1"/>
  <c r="BX56" i="1"/>
  <c r="U30" i="1"/>
  <c r="AJ60" i="1"/>
  <c r="AI58" i="1"/>
  <c r="AJ54" i="1"/>
  <c r="AI52" i="1"/>
  <c r="O10" i="1" l="1"/>
  <c r="AL61" i="1"/>
  <c r="AM62" i="1"/>
  <c r="V30" i="1"/>
  <c r="AK60" i="1"/>
  <c r="AJ58" i="1"/>
  <c r="AK54" i="1"/>
  <c r="AJ52" i="1"/>
  <c r="O18" i="1" l="1"/>
  <c r="O17" i="1"/>
  <c r="O16" i="1"/>
  <c r="P5" i="1"/>
  <c r="O22" i="1"/>
  <c r="O15" i="1"/>
  <c r="O42" i="1"/>
  <c r="AM61" i="1"/>
  <c r="AN62" i="1"/>
  <c r="W30" i="1"/>
  <c r="AL60" i="1"/>
  <c r="AK58" i="1"/>
  <c r="AL54" i="1"/>
  <c r="AK52" i="1"/>
  <c r="O19" i="1" l="1"/>
  <c r="O48" i="1"/>
  <c r="O43" i="1" s="1"/>
  <c r="O40" i="1" s="1"/>
  <c r="P9" i="1"/>
  <c r="P8" i="1"/>
  <c r="P10" i="1" s="1"/>
  <c r="AN61" i="1"/>
  <c r="AO62" i="1"/>
  <c r="X30" i="1"/>
  <c r="AM60" i="1"/>
  <c r="AL58" i="1"/>
  <c r="AM54" i="1"/>
  <c r="AL52" i="1"/>
  <c r="Q5" i="1" l="1"/>
  <c r="P16" i="1"/>
  <c r="P42" i="1"/>
  <c r="P15" i="1"/>
  <c r="P17" i="1"/>
  <c r="P22" i="1"/>
  <c r="P18" i="1"/>
  <c r="AO61" i="1"/>
  <c r="AP62" i="1"/>
  <c r="Y30" i="1"/>
  <c r="AN60" i="1"/>
  <c r="AM58" i="1"/>
  <c r="AN54" i="1"/>
  <c r="AM52" i="1"/>
  <c r="P19" i="1" l="1"/>
  <c r="P48" i="1"/>
  <c r="P43" i="1" s="1"/>
  <c r="P40" i="1" s="1"/>
  <c r="Q8" i="1"/>
  <c r="Q9" i="1"/>
  <c r="AP61" i="1"/>
  <c r="AQ62" i="1"/>
  <c r="Z30" i="1"/>
  <c r="AO60" i="1"/>
  <c r="AN58" i="1"/>
  <c r="AO54" i="1"/>
  <c r="AN52" i="1"/>
  <c r="Q10" i="1" l="1"/>
  <c r="AQ61" i="1"/>
  <c r="AR62" i="1"/>
  <c r="AA30" i="1"/>
  <c r="AP60" i="1"/>
  <c r="AO58" i="1"/>
  <c r="AP54" i="1"/>
  <c r="AO52" i="1"/>
  <c r="Q42" i="1" l="1"/>
  <c r="Q16" i="1"/>
  <c r="Q17" i="1"/>
  <c r="Q18" i="1"/>
  <c r="R5" i="1"/>
  <c r="Q22" i="1"/>
  <c r="Q15" i="1"/>
  <c r="AS62" i="1"/>
  <c r="AR61" i="1"/>
  <c r="BV61" i="1" s="1"/>
  <c r="AB30" i="1"/>
  <c r="AQ60" i="1"/>
  <c r="AP58" i="1"/>
  <c r="AQ54" i="1"/>
  <c r="AP52" i="1"/>
  <c r="Q48" i="1" l="1"/>
  <c r="Q19" i="1"/>
  <c r="S5" i="1"/>
  <c r="R9" i="1"/>
  <c r="R8" i="1"/>
  <c r="AS61" i="1"/>
  <c r="AT62" i="1"/>
  <c r="AC30" i="1"/>
  <c r="AR60" i="1"/>
  <c r="BV60" i="1" s="1"/>
  <c r="AQ58" i="1"/>
  <c r="AR54" i="1"/>
  <c r="BV54" i="1" s="1"/>
  <c r="AQ52" i="1"/>
  <c r="S9" i="1" l="1"/>
  <c r="BQ9" i="1" s="1"/>
  <c r="BQ5" i="1"/>
  <c r="S8" i="1"/>
  <c r="BQ8" i="1" s="1"/>
  <c r="R10" i="1"/>
  <c r="S11" i="1" s="1"/>
  <c r="BQ11" i="1" s="1"/>
  <c r="Q43" i="1"/>
  <c r="Q40" i="1" s="1"/>
  <c r="AT61" i="1"/>
  <c r="AU62" i="1"/>
  <c r="AD30" i="1"/>
  <c r="AS60" i="1"/>
  <c r="AR58" i="1"/>
  <c r="BV58" i="1" s="1"/>
  <c r="AS54" i="1"/>
  <c r="AR52" i="1"/>
  <c r="BV52" i="1" s="1"/>
  <c r="T10" i="1" l="1"/>
  <c r="R42" i="1"/>
  <c r="R18" i="1"/>
  <c r="S10" i="1"/>
  <c r="R22" i="1"/>
  <c r="S22" i="1" s="1"/>
  <c r="R16" i="1"/>
  <c r="R15" i="1"/>
  <c r="R17" i="1"/>
  <c r="AU61" i="1"/>
  <c r="AV62" i="1"/>
  <c r="AE30" i="1"/>
  <c r="AT60" i="1"/>
  <c r="AS58" i="1"/>
  <c r="AT54" i="1"/>
  <c r="AS52" i="1"/>
  <c r="BT17" i="1" l="1"/>
  <c r="S17" i="1"/>
  <c r="BT15" i="1"/>
  <c r="S15" i="1"/>
  <c r="BT16" i="1"/>
  <c r="S16" i="1"/>
  <c r="R48" i="1"/>
  <c r="R19" i="1"/>
  <c r="S18" i="1"/>
  <c r="S19" i="1" s="1"/>
  <c r="BU30" i="1"/>
  <c r="AF30" i="1"/>
  <c r="S42" i="1"/>
  <c r="S79" i="1" s="1"/>
  <c r="T18" i="1"/>
  <c r="T15" i="1"/>
  <c r="T17" i="1"/>
  <c r="T22" i="1"/>
  <c r="T16" i="1"/>
  <c r="T42" i="1"/>
  <c r="T40" i="1" s="1"/>
  <c r="U10" i="1"/>
  <c r="AV61" i="1"/>
  <c r="AW62" i="1"/>
  <c r="AG30" i="1"/>
  <c r="AU60" i="1"/>
  <c r="AT58" i="1"/>
  <c r="AU54" i="1"/>
  <c r="AT52" i="1"/>
  <c r="T19" i="1" l="1"/>
  <c r="R43" i="1"/>
  <c r="R40" i="1" s="1"/>
  <c r="S48" i="1"/>
  <c r="BQ48" i="1" s="1"/>
  <c r="U15" i="1"/>
  <c r="U18" i="1"/>
  <c r="U19" i="1" s="1"/>
  <c r="V10" i="1"/>
  <c r="U17" i="1"/>
  <c r="U42" i="1"/>
  <c r="U40" i="1" s="1"/>
  <c r="U16" i="1"/>
  <c r="U22" i="1"/>
  <c r="AW61" i="1"/>
  <c r="AX62" i="1"/>
  <c r="AH30" i="1"/>
  <c r="AV60" i="1"/>
  <c r="AU58" i="1"/>
  <c r="AV54" i="1"/>
  <c r="AU52" i="1"/>
  <c r="V22" i="1" l="1"/>
  <c r="V18" i="1"/>
  <c r="V19" i="1" s="1"/>
  <c r="V42" i="1"/>
  <c r="V40" i="1" s="1"/>
  <c r="V15" i="1"/>
  <c r="W10" i="1"/>
  <c r="V17" i="1"/>
  <c r="V16" i="1"/>
  <c r="S43" i="1"/>
  <c r="AX61" i="1"/>
  <c r="AY62" i="1"/>
  <c r="AI30" i="1"/>
  <c r="AW60" i="1"/>
  <c r="AV58" i="1"/>
  <c r="AW54" i="1"/>
  <c r="AV52" i="1"/>
  <c r="S80" i="1" l="1"/>
  <c r="S81" i="1" s="1"/>
  <c r="BQ43" i="1"/>
  <c r="W22" i="1"/>
  <c r="W16" i="1"/>
  <c r="W18" i="1"/>
  <c r="W19" i="1" s="1"/>
  <c r="W42" i="1"/>
  <c r="W40" i="1" s="1"/>
  <c r="W17" i="1"/>
  <c r="W15" i="1"/>
  <c r="X10" i="1"/>
  <c r="S40" i="1"/>
  <c r="BT40" i="1"/>
  <c r="B7" i="4" s="1"/>
  <c r="AY61" i="1"/>
  <c r="AZ62" i="1"/>
  <c r="AJ30" i="1"/>
  <c r="AX60" i="1"/>
  <c r="AW58" i="1"/>
  <c r="AX54" i="1"/>
  <c r="AW52" i="1"/>
  <c r="X16" i="1" l="1"/>
  <c r="X18" i="1"/>
  <c r="X19" i="1" s="1"/>
  <c r="X17" i="1"/>
  <c r="X15" i="1"/>
  <c r="X22" i="1"/>
  <c r="Y10" i="1"/>
  <c r="X42" i="1"/>
  <c r="X40" i="1" s="1"/>
  <c r="AZ61" i="1"/>
  <c r="BA62" i="1"/>
  <c r="AK30" i="1"/>
  <c r="AY60" i="1"/>
  <c r="AX58" i="1"/>
  <c r="AY54" i="1"/>
  <c r="AX52" i="1"/>
  <c r="Z10" i="1" l="1"/>
  <c r="Y16" i="1"/>
  <c r="Y18" i="1"/>
  <c r="Y19" i="1" s="1"/>
  <c r="Y42" i="1"/>
  <c r="Y40" i="1" s="1"/>
  <c r="Y15" i="1"/>
  <c r="Y17" i="1"/>
  <c r="Y22" i="1"/>
  <c r="BA61" i="1"/>
  <c r="BB62" i="1"/>
  <c r="AL30" i="1"/>
  <c r="AM30" i="1"/>
  <c r="AZ60" i="1"/>
  <c r="AY58" i="1"/>
  <c r="AZ54" i="1"/>
  <c r="AY52" i="1"/>
  <c r="Z22" i="1" l="1"/>
  <c r="AA10" i="1"/>
  <c r="Z18" i="1"/>
  <c r="Z19" i="1" s="1"/>
  <c r="Z15" i="1"/>
  <c r="Z42" i="1"/>
  <c r="Z40" i="1" s="1"/>
  <c r="Z17" i="1"/>
  <c r="Z16" i="1"/>
  <c r="BB61" i="1"/>
  <c r="BC62" i="1"/>
  <c r="BA60" i="1"/>
  <c r="AZ58" i="1"/>
  <c r="BA54" i="1"/>
  <c r="AZ52" i="1"/>
  <c r="AA15" i="1" l="1"/>
  <c r="AA22" i="1"/>
  <c r="AA17" i="1"/>
  <c r="AA18" i="1"/>
  <c r="AA19" i="1" s="1"/>
  <c r="AA42" i="1"/>
  <c r="AA40" i="1" s="1"/>
  <c r="AB10" i="1"/>
  <c r="AA16" i="1"/>
  <c r="BC61" i="1"/>
  <c r="BD62" i="1"/>
  <c r="AN30" i="1"/>
  <c r="BB60" i="1"/>
  <c r="BA58" i="1"/>
  <c r="BB54" i="1"/>
  <c r="BA52" i="1"/>
  <c r="AB42" i="1" l="1"/>
  <c r="AB40" i="1" s="1"/>
  <c r="AB17" i="1"/>
  <c r="AB16" i="1"/>
  <c r="AB15" i="1"/>
  <c r="AB18" i="1"/>
  <c r="AB19" i="1" s="1"/>
  <c r="AC10" i="1"/>
  <c r="AB22" i="1"/>
  <c r="BE62" i="1"/>
  <c r="BD61" i="1"/>
  <c r="BW61" i="1" s="1"/>
  <c r="AO30" i="1"/>
  <c r="BC60" i="1"/>
  <c r="BB58" i="1"/>
  <c r="BC54" i="1"/>
  <c r="BB52" i="1"/>
  <c r="AC15" i="1" l="1"/>
  <c r="AC42" i="1"/>
  <c r="AC40" i="1" s="1"/>
  <c r="AD10" i="1"/>
  <c r="AC18" i="1"/>
  <c r="AC19" i="1" s="1"/>
  <c r="AC17" i="1"/>
  <c r="AC22" i="1"/>
  <c r="AC16" i="1"/>
  <c r="BE61" i="1"/>
  <c r="BF62" i="1"/>
  <c r="AP30" i="1"/>
  <c r="BD60" i="1"/>
  <c r="BW60" i="1" s="1"/>
  <c r="BC58" i="1"/>
  <c r="BD54" i="1"/>
  <c r="BW54" i="1" s="1"/>
  <c r="BC52" i="1"/>
  <c r="AD22" i="1" l="1"/>
  <c r="AE10" i="1"/>
  <c r="AD18" i="1"/>
  <c r="AD19" i="1" s="1"/>
  <c r="AD42" i="1"/>
  <c r="AD40" i="1" s="1"/>
  <c r="AD17" i="1"/>
  <c r="AD16" i="1"/>
  <c r="AD15" i="1"/>
  <c r="BF61" i="1"/>
  <c r="BG62" i="1"/>
  <c r="AQ30" i="1"/>
  <c r="BE60" i="1"/>
  <c r="BD58" i="1"/>
  <c r="BW58" i="1" s="1"/>
  <c r="BE54" i="1"/>
  <c r="BD52" i="1"/>
  <c r="BW52" i="1" s="1"/>
  <c r="AE42" i="1" l="1"/>
  <c r="AE40" i="1" s="1"/>
  <c r="AE15" i="1"/>
  <c r="AE16" i="1"/>
  <c r="AE18" i="1"/>
  <c r="AE22" i="1"/>
  <c r="AF22" i="1" s="1"/>
  <c r="AG10" i="1"/>
  <c r="AE17" i="1"/>
  <c r="BG61" i="1"/>
  <c r="BH62" i="1"/>
  <c r="AR30" i="1"/>
  <c r="BV30" i="1" s="1"/>
  <c r="BF60" i="1"/>
  <c r="BE58" i="1"/>
  <c r="BF54" i="1"/>
  <c r="BE52" i="1"/>
  <c r="H12" i="1"/>
  <c r="I12" i="1"/>
  <c r="AH10" i="1" l="1"/>
  <c r="AG17" i="1"/>
  <c r="AG15" i="1"/>
  <c r="AG22" i="1"/>
  <c r="AG16" i="1"/>
  <c r="AG42" i="1"/>
  <c r="AG40" i="1" s="1"/>
  <c r="AG18" i="1"/>
  <c r="AG19" i="1" s="1"/>
  <c r="BU17" i="1"/>
  <c r="AF17" i="1"/>
  <c r="AE19" i="1"/>
  <c r="AF18" i="1"/>
  <c r="BU16" i="1"/>
  <c r="AF16" i="1"/>
  <c r="BU15" i="1"/>
  <c r="AF15" i="1"/>
  <c r="BU40" i="1"/>
  <c r="C7" i="4" s="1"/>
  <c r="AF40" i="1"/>
  <c r="AF42" i="1"/>
  <c r="H3" i="1"/>
  <c r="I3" i="1"/>
  <c r="BH61" i="1"/>
  <c r="BI62" i="1"/>
  <c r="G27" i="1"/>
  <c r="G28" i="1"/>
  <c r="G29" i="1"/>
  <c r="G12" i="1"/>
  <c r="AB12" i="1"/>
  <c r="AB27" i="1"/>
  <c r="AB21" i="1" s="1"/>
  <c r="X12" i="1"/>
  <c r="X27" i="1"/>
  <c r="X21" i="1" s="1"/>
  <c r="O12" i="1"/>
  <c r="O27" i="1"/>
  <c r="O21" i="1" s="1"/>
  <c r="AE12" i="1"/>
  <c r="AE27" i="1"/>
  <c r="AE21" i="1" s="1"/>
  <c r="W12" i="1"/>
  <c r="W27" i="1"/>
  <c r="W21" i="1" s="1"/>
  <c r="AD12" i="1"/>
  <c r="AD27" i="1"/>
  <c r="AD21" i="1" s="1"/>
  <c r="V12" i="1"/>
  <c r="V27" i="1"/>
  <c r="V21" i="1" s="1"/>
  <c r="M12" i="1"/>
  <c r="M27" i="1"/>
  <c r="M21" i="1" s="1"/>
  <c r="N12" i="1"/>
  <c r="N27" i="1"/>
  <c r="N21" i="1" s="1"/>
  <c r="AC12" i="1"/>
  <c r="AC27" i="1"/>
  <c r="AC21" i="1" s="1"/>
  <c r="U12" i="1"/>
  <c r="U27" i="1"/>
  <c r="U21" i="1" s="1"/>
  <c r="L12" i="1"/>
  <c r="L27" i="1"/>
  <c r="L21" i="1" s="1"/>
  <c r="K12" i="1"/>
  <c r="K27" i="1"/>
  <c r="K21" i="1" s="1"/>
  <c r="AA12" i="1"/>
  <c r="AA27" i="1"/>
  <c r="AA21" i="1" s="1"/>
  <c r="R12" i="1"/>
  <c r="R27" i="1"/>
  <c r="R21" i="1" s="1"/>
  <c r="J12" i="1"/>
  <c r="J27" i="1"/>
  <c r="J21" i="1" s="1"/>
  <c r="T12" i="1"/>
  <c r="T27" i="1"/>
  <c r="Z12" i="1"/>
  <c r="Z27" i="1"/>
  <c r="Z21" i="1" s="1"/>
  <c r="Q12" i="1"/>
  <c r="Q27" i="1"/>
  <c r="Q21" i="1" s="1"/>
  <c r="I27" i="1"/>
  <c r="I21" i="1" s="1"/>
  <c r="Y12" i="1"/>
  <c r="Y27" i="1"/>
  <c r="Y21" i="1" s="1"/>
  <c r="P12" i="1"/>
  <c r="P27" i="1"/>
  <c r="P21" i="1" s="1"/>
  <c r="H27" i="1"/>
  <c r="H21" i="1" s="1"/>
  <c r="AS30" i="1"/>
  <c r="BG60" i="1"/>
  <c r="BF58" i="1"/>
  <c r="BG54" i="1"/>
  <c r="BF52" i="1"/>
  <c r="AD24" i="1"/>
  <c r="V24" i="1"/>
  <c r="M24" i="1"/>
  <c r="T29" i="1"/>
  <c r="T28" i="1"/>
  <c r="Q29" i="1"/>
  <c r="Q28" i="1"/>
  <c r="J29" i="1"/>
  <c r="J28" i="1"/>
  <c r="Z29" i="1"/>
  <c r="Z28" i="1"/>
  <c r="Y29" i="1"/>
  <c r="Y28" i="1"/>
  <c r="P29" i="1"/>
  <c r="P28" i="1"/>
  <c r="H29" i="1"/>
  <c r="H28" i="1"/>
  <c r="K28" i="1"/>
  <c r="K29" i="1"/>
  <c r="X28" i="1"/>
  <c r="X29" i="1"/>
  <c r="O28" i="1"/>
  <c r="O29" i="1"/>
  <c r="AE28" i="1"/>
  <c r="AE29" i="1"/>
  <c r="W28" i="1"/>
  <c r="W29" i="1"/>
  <c r="N28" i="1"/>
  <c r="N29" i="1"/>
  <c r="AB29" i="1"/>
  <c r="AB28" i="1"/>
  <c r="R29" i="1"/>
  <c r="R28" i="1"/>
  <c r="I29" i="1"/>
  <c r="I28" i="1"/>
  <c r="AD28" i="1"/>
  <c r="AD29" i="1"/>
  <c r="V28" i="1"/>
  <c r="V29" i="1"/>
  <c r="M28" i="1"/>
  <c r="M29" i="1"/>
  <c r="AA29" i="1"/>
  <c r="AA28" i="1"/>
  <c r="AC28" i="1"/>
  <c r="AC29" i="1"/>
  <c r="U28" i="1"/>
  <c r="U29" i="1"/>
  <c r="L28" i="1"/>
  <c r="L29" i="1"/>
  <c r="X24" i="1"/>
  <c r="O24" i="1"/>
  <c r="AE24" i="1"/>
  <c r="W24" i="1"/>
  <c r="N24" i="1"/>
  <c r="AC24" i="1"/>
  <c r="U24" i="1"/>
  <c r="L24" i="1"/>
  <c r="G24" i="1"/>
  <c r="AB24" i="1"/>
  <c r="T24" i="1"/>
  <c r="K24" i="1"/>
  <c r="AA24" i="1"/>
  <c r="R24" i="1"/>
  <c r="J24" i="1"/>
  <c r="Z24" i="1"/>
  <c r="Q24" i="1"/>
  <c r="I24" i="1"/>
  <c r="Y24" i="1"/>
  <c r="P24" i="1"/>
  <c r="H24" i="1"/>
  <c r="L7" i="2"/>
  <c r="L8" i="2"/>
  <c r="N6" i="2"/>
  <c r="N7" i="2"/>
  <c r="N8" i="2"/>
  <c r="N5" i="2"/>
  <c r="M6" i="2"/>
  <c r="M7" i="2"/>
  <c r="M8" i="2"/>
  <c r="M5" i="2"/>
  <c r="L6" i="2"/>
  <c r="L5" i="2"/>
  <c r="K6" i="2"/>
  <c r="K7" i="2"/>
  <c r="K8" i="2"/>
  <c r="K5" i="2"/>
  <c r="S12" i="1" l="1"/>
  <c r="AF12" i="1"/>
  <c r="V3" i="1"/>
  <c r="V65" i="1"/>
  <c r="V64" i="1" s="1"/>
  <c r="V38" i="1"/>
  <c r="X3" i="1"/>
  <c r="X38" i="1"/>
  <c r="X65" i="1"/>
  <c r="X64" i="1" s="1"/>
  <c r="AG27" i="1"/>
  <c r="AG21" i="1" s="1"/>
  <c r="AG24" i="1"/>
  <c r="W3" i="1"/>
  <c r="W65" i="1"/>
  <c r="W64" i="1" s="1"/>
  <c r="W38" i="1"/>
  <c r="AG12" i="1"/>
  <c r="AG3" i="1" s="1"/>
  <c r="AA3" i="1"/>
  <c r="AA38" i="1"/>
  <c r="AA65" i="1"/>
  <c r="AA64" i="1" s="1"/>
  <c r="S28" i="1"/>
  <c r="AD3" i="1"/>
  <c r="AD65" i="1"/>
  <c r="AD64" i="1" s="1"/>
  <c r="AD38" i="1"/>
  <c r="S29" i="1"/>
  <c r="AF28" i="1"/>
  <c r="AC3" i="1"/>
  <c r="AC65" i="1"/>
  <c r="AC64" i="1" s="1"/>
  <c r="AC38" i="1"/>
  <c r="AG29" i="1"/>
  <c r="AG28" i="1"/>
  <c r="Z3" i="1"/>
  <c r="Z65" i="1"/>
  <c r="Z64" i="1" s="1"/>
  <c r="Z38" i="1"/>
  <c r="AE3" i="1"/>
  <c r="AE65" i="1"/>
  <c r="AE64" i="1" s="1"/>
  <c r="AE38" i="1"/>
  <c r="AB3" i="1"/>
  <c r="AB65" i="1"/>
  <c r="AB64" i="1" s="1"/>
  <c r="AB38" i="1"/>
  <c r="U3" i="1"/>
  <c r="U65" i="1"/>
  <c r="U64" i="1" s="1"/>
  <c r="U38" i="1"/>
  <c r="T21" i="1"/>
  <c r="AF21" i="1" s="1"/>
  <c r="AF27" i="1"/>
  <c r="AF29" i="1"/>
  <c r="T3" i="1"/>
  <c r="Y3" i="1"/>
  <c r="Y65" i="1"/>
  <c r="Y64" i="1" s="1"/>
  <c r="Y38" i="1"/>
  <c r="AH16" i="1"/>
  <c r="AH22" i="1"/>
  <c r="AH17" i="1"/>
  <c r="AH18" i="1"/>
  <c r="AI10" i="1"/>
  <c r="AH42" i="1"/>
  <c r="AH40" i="1" s="1"/>
  <c r="AH15" i="1"/>
  <c r="G21" i="1"/>
  <c r="S27" i="1"/>
  <c r="O3" i="1"/>
  <c r="O38" i="1"/>
  <c r="M3" i="1"/>
  <c r="M38" i="1"/>
  <c r="N3" i="1"/>
  <c r="N38" i="1"/>
  <c r="L3" i="1"/>
  <c r="L38" i="1"/>
  <c r="K3" i="1"/>
  <c r="K38" i="1"/>
  <c r="R3" i="1"/>
  <c r="R38" i="1"/>
  <c r="J3" i="1"/>
  <c r="J38" i="1"/>
  <c r="Q3" i="1"/>
  <c r="Q38" i="1"/>
  <c r="I65" i="1"/>
  <c r="I64" i="1" s="1"/>
  <c r="I38" i="1"/>
  <c r="P3" i="1"/>
  <c r="P38" i="1"/>
  <c r="H65" i="1"/>
  <c r="H64" i="1" s="1"/>
  <c r="H38" i="1"/>
  <c r="G3" i="1"/>
  <c r="BI61" i="1"/>
  <c r="BJ62" i="1"/>
  <c r="Q65" i="1"/>
  <c r="Q64" i="1" s="1"/>
  <c r="J65" i="1"/>
  <c r="J64" i="1" s="1"/>
  <c r="M65" i="1"/>
  <c r="M64" i="1" s="1"/>
  <c r="BT12" i="1"/>
  <c r="B5" i="4" s="1"/>
  <c r="BU12" i="1"/>
  <c r="C5" i="4" s="1"/>
  <c r="K65" i="1"/>
  <c r="K64" i="1" s="1"/>
  <c r="BT28" i="1"/>
  <c r="BU28" i="1"/>
  <c r="BU29" i="1"/>
  <c r="R65" i="1"/>
  <c r="R64" i="1" s="1"/>
  <c r="BT29" i="1"/>
  <c r="L65" i="1"/>
  <c r="L64" i="1" s="1"/>
  <c r="N65" i="1"/>
  <c r="N64" i="1" s="1"/>
  <c r="O65" i="1"/>
  <c r="O64" i="1" s="1"/>
  <c r="P65" i="1"/>
  <c r="P64" i="1" s="1"/>
  <c r="AT30" i="1"/>
  <c r="BH60" i="1"/>
  <c r="BG58" i="1"/>
  <c r="BH54" i="1"/>
  <c r="BG52" i="1"/>
  <c r="E5" i="2"/>
  <c r="O5" i="2" s="1"/>
  <c r="E6" i="2"/>
  <c r="O6" i="2" s="1"/>
  <c r="E7" i="2"/>
  <c r="O7" i="2" s="1"/>
  <c r="E8" i="2"/>
  <c r="O8" i="2" s="1"/>
  <c r="F69" i="1"/>
  <c r="F70" i="1"/>
  <c r="AF38" i="1" l="1"/>
  <c r="AH12" i="1"/>
  <c r="AH3" i="1" s="1"/>
  <c r="BU21" i="1"/>
  <c r="C6" i="4" s="1"/>
  <c r="AH19" i="1"/>
  <c r="AH28" i="1"/>
  <c r="AH27" i="1"/>
  <c r="AH21" i="1" s="1"/>
  <c r="AH29" i="1"/>
  <c r="T65" i="1"/>
  <c r="AI16" i="1"/>
  <c r="AI18" i="1"/>
  <c r="AI42" i="1"/>
  <c r="AI40" i="1" s="1"/>
  <c r="AI17" i="1"/>
  <c r="AI22" i="1"/>
  <c r="AI15" i="1"/>
  <c r="AJ10" i="1"/>
  <c r="AH24" i="1"/>
  <c r="T38" i="1"/>
  <c r="AG65" i="1"/>
  <c r="AG64" i="1" s="1"/>
  <c r="S21" i="1"/>
  <c r="S38" i="1" s="1"/>
  <c r="BT21" i="1"/>
  <c r="B6" i="4" s="1"/>
  <c r="G38" i="1"/>
  <c r="BJ61" i="1"/>
  <c r="BK62" i="1"/>
  <c r="L70" i="1"/>
  <c r="L67" i="1"/>
  <c r="L69" i="1"/>
  <c r="AU30" i="1"/>
  <c r="BI60" i="1"/>
  <c r="BH58" i="1"/>
  <c r="BI54" i="1"/>
  <c r="BH52" i="1"/>
  <c r="AH65" i="1" l="1"/>
  <c r="AH64" i="1" s="1"/>
  <c r="AF65" i="1"/>
  <c r="AF64" i="1" s="1"/>
  <c r="T64" i="1"/>
  <c r="AJ22" i="1"/>
  <c r="AJ18" i="1"/>
  <c r="AJ16" i="1"/>
  <c r="AJ17" i="1"/>
  <c r="AK10" i="1"/>
  <c r="AJ42" i="1"/>
  <c r="AJ15" i="1"/>
  <c r="AI19" i="1"/>
  <c r="AI27" i="1"/>
  <c r="AI29" i="1"/>
  <c r="AI28" i="1"/>
  <c r="AI12" i="1"/>
  <c r="AI24" i="1"/>
  <c r="BK61" i="1"/>
  <c r="BL62" i="1"/>
  <c r="AV30" i="1"/>
  <c r="BJ60" i="1"/>
  <c r="BI58" i="1"/>
  <c r="BJ54" i="1"/>
  <c r="BI52" i="1"/>
  <c r="BU27" i="1"/>
  <c r="BT42" i="1"/>
  <c r="BU26" i="1"/>
  <c r="BU22" i="1"/>
  <c r="BU18" i="1"/>
  <c r="BX26" i="1"/>
  <c r="BU35" i="1"/>
  <c r="BU31" i="1"/>
  <c r="BV31" i="1"/>
  <c r="BW26" i="1"/>
  <c r="BV35" i="1"/>
  <c r="BT22" i="1"/>
  <c r="BY26" i="1"/>
  <c r="BT26" i="1"/>
  <c r="BU42" i="1"/>
  <c r="BT31" i="1"/>
  <c r="BV26" i="1"/>
  <c r="BT35" i="1"/>
  <c r="BT18" i="1"/>
  <c r="AI21" i="1" l="1"/>
  <c r="AJ12" i="1"/>
  <c r="AJ3" i="1" s="1"/>
  <c r="AJ40" i="1"/>
  <c r="AI3" i="1"/>
  <c r="AJ19" i="1"/>
  <c r="AJ28" i="1"/>
  <c r="AJ29" i="1"/>
  <c r="AJ27" i="1"/>
  <c r="AJ21" i="1" s="1"/>
  <c r="AJ65" i="1" s="1"/>
  <c r="AJ64" i="1" s="1"/>
  <c r="AK18" i="1"/>
  <c r="AK42" i="1"/>
  <c r="AK40" i="1" s="1"/>
  <c r="AK16" i="1"/>
  <c r="AL10" i="1"/>
  <c r="AK15" i="1"/>
  <c r="AK22" i="1"/>
  <c r="AK24" i="1" s="1"/>
  <c r="AK17" i="1"/>
  <c r="AJ24" i="1"/>
  <c r="BL61" i="1"/>
  <c r="BM62" i="1"/>
  <c r="AW30" i="1"/>
  <c r="BK60" i="1"/>
  <c r="BJ58" i="1"/>
  <c r="BK54" i="1"/>
  <c r="BJ52" i="1"/>
  <c r="BT27" i="1"/>
  <c r="BV19" i="1"/>
  <c r="BW19" i="1"/>
  <c r="BX19" i="1"/>
  <c r="BU19" i="1"/>
  <c r="BT19" i="1"/>
  <c r="AI65" i="1" l="1"/>
  <c r="AI64" i="1" s="1"/>
  <c r="AK12" i="1"/>
  <c r="AL16" i="1"/>
  <c r="AL22" i="1"/>
  <c r="AM10" i="1"/>
  <c r="AL18" i="1"/>
  <c r="AL17" i="1"/>
  <c r="AL15" i="1"/>
  <c r="AL42" i="1"/>
  <c r="AL40" i="1" s="1"/>
  <c r="AK27" i="1"/>
  <c r="AK21" i="1" s="1"/>
  <c r="AK28" i="1"/>
  <c r="AK29" i="1"/>
  <c r="AK19" i="1"/>
  <c r="BM61" i="1"/>
  <c r="BN62" i="1"/>
  <c r="N69" i="1"/>
  <c r="N70" i="1"/>
  <c r="P70" i="1"/>
  <c r="P69" i="1"/>
  <c r="V69" i="1"/>
  <c r="V70" i="1"/>
  <c r="O70" i="1"/>
  <c r="O69" i="1"/>
  <c r="X70" i="1"/>
  <c r="X69" i="1"/>
  <c r="Q69" i="1"/>
  <c r="Q70" i="1"/>
  <c r="Y70" i="1"/>
  <c r="Y69" i="1"/>
  <c r="AJ69" i="1"/>
  <c r="AJ70" i="1"/>
  <c r="AH70" i="1"/>
  <c r="AH69" i="1"/>
  <c r="W69" i="1"/>
  <c r="W70" i="1"/>
  <c r="Z69" i="1"/>
  <c r="Z70" i="1"/>
  <c r="AC70" i="1"/>
  <c r="AC69" i="1"/>
  <c r="AA69" i="1"/>
  <c r="AA70" i="1"/>
  <c r="AG70" i="1"/>
  <c r="AG69" i="1"/>
  <c r="AE69" i="1"/>
  <c r="AE70" i="1"/>
  <c r="AD69" i="1"/>
  <c r="AD70" i="1"/>
  <c r="AB70" i="1"/>
  <c r="AB69" i="1"/>
  <c r="AI69" i="1"/>
  <c r="AI70" i="1"/>
  <c r="G65" i="1"/>
  <c r="S65" i="1" s="1"/>
  <c r="M69" i="1"/>
  <c r="X67" i="1"/>
  <c r="AH67" i="1"/>
  <c r="AJ67" i="1"/>
  <c r="AA67" i="1"/>
  <c r="AB67" i="1"/>
  <c r="AE67" i="1"/>
  <c r="W67" i="1"/>
  <c r="AX30" i="1"/>
  <c r="O67" i="1"/>
  <c r="AG67" i="1"/>
  <c r="BL60" i="1"/>
  <c r="BK58" i="1"/>
  <c r="BL54" i="1"/>
  <c r="BK52" i="1"/>
  <c r="V67" i="1"/>
  <c r="AI67" i="1"/>
  <c r="Y67" i="1"/>
  <c r="AC67" i="1"/>
  <c r="Z67" i="1"/>
  <c r="AD67" i="1"/>
  <c r="P67" i="1"/>
  <c r="Q67" i="1"/>
  <c r="N67" i="1"/>
  <c r="AL12" i="1" l="1"/>
  <c r="G64" i="1"/>
  <c r="AL28" i="1"/>
  <c r="AL29" i="1"/>
  <c r="AL27" i="1"/>
  <c r="AL21" i="1" s="1"/>
  <c r="AL65" i="1" s="1"/>
  <c r="AL64" i="1" s="1"/>
  <c r="AL19" i="1"/>
  <c r="AM15" i="1"/>
  <c r="AM42" i="1"/>
  <c r="AM40" i="1" s="1"/>
  <c r="AM22" i="1"/>
  <c r="AM18" i="1"/>
  <c r="AM16" i="1"/>
  <c r="AM17" i="1"/>
  <c r="AN10" i="1"/>
  <c r="AL3" i="1"/>
  <c r="AL24" i="1"/>
  <c r="AK3" i="1"/>
  <c r="AK65" i="1"/>
  <c r="AK64" i="1" s="1"/>
  <c r="BN61" i="1"/>
  <c r="BO62" i="1"/>
  <c r="G69" i="1"/>
  <c r="K70" i="1"/>
  <c r="K69" i="1"/>
  <c r="M70" i="1"/>
  <c r="I69" i="1"/>
  <c r="I70" i="1"/>
  <c r="H67" i="1"/>
  <c r="H69" i="1"/>
  <c r="H70" i="1"/>
  <c r="J70" i="1"/>
  <c r="J69" i="1"/>
  <c r="G70" i="1"/>
  <c r="K67" i="1"/>
  <c r="J67" i="1"/>
  <c r="I67" i="1"/>
  <c r="G67" i="1"/>
  <c r="M67" i="1"/>
  <c r="AY30" i="1"/>
  <c r="BM60" i="1"/>
  <c r="BL58" i="1"/>
  <c r="BM54" i="1"/>
  <c r="BL52" i="1"/>
  <c r="AL67" i="1" l="1"/>
  <c r="AL70" i="1"/>
  <c r="AL69" i="1"/>
  <c r="AM28" i="1"/>
  <c r="AM27" i="1"/>
  <c r="AM21" i="1" s="1"/>
  <c r="AM29" i="1"/>
  <c r="AM19" i="1"/>
  <c r="AK70" i="1"/>
  <c r="AK69" i="1"/>
  <c r="AK67" i="1"/>
  <c r="AM24" i="1"/>
  <c r="AM12" i="1"/>
  <c r="AN22" i="1"/>
  <c r="AN16" i="1"/>
  <c r="AN18" i="1"/>
  <c r="AN17" i="1"/>
  <c r="AN15" i="1"/>
  <c r="AO10" i="1"/>
  <c r="AN42" i="1"/>
  <c r="AN40" i="1" s="1"/>
  <c r="BO61" i="1"/>
  <c r="BP62" i="1"/>
  <c r="G71" i="1"/>
  <c r="G72" i="1" s="1"/>
  <c r="AZ30" i="1"/>
  <c r="BN60" i="1"/>
  <c r="BM58" i="1"/>
  <c r="BN54" i="1"/>
  <c r="BM52" i="1"/>
  <c r="G73" i="1" l="1"/>
  <c r="BP61" i="1"/>
  <c r="BQ62" i="1"/>
  <c r="AN29" i="1"/>
  <c r="AN28" i="1"/>
  <c r="AN19" i="1"/>
  <c r="AN27" i="1"/>
  <c r="AN21" i="1" s="1"/>
  <c r="AN24" i="1"/>
  <c r="AM65" i="1"/>
  <c r="AM3" i="1"/>
  <c r="AO16" i="1"/>
  <c r="AO18" i="1"/>
  <c r="AO22" i="1"/>
  <c r="AO42" i="1"/>
  <c r="AO40" i="1" s="1"/>
  <c r="AO15" i="1"/>
  <c r="AO17" i="1"/>
  <c r="AP10" i="1"/>
  <c r="AN12" i="1"/>
  <c r="H71" i="1"/>
  <c r="H72" i="1" s="1"/>
  <c r="BA30" i="1"/>
  <c r="BO60" i="1"/>
  <c r="BN58" i="1"/>
  <c r="BO54" i="1"/>
  <c r="BN52" i="1"/>
  <c r="I71" i="1" l="1"/>
  <c r="I72" i="1" s="1"/>
  <c r="H73" i="1"/>
  <c r="BX61" i="1"/>
  <c r="BQ61" i="1"/>
  <c r="BY61" i="1" s="1"/>
  <c r="AM64" i="1"/>
  <c r="AN3" i="1"/>
  <c r="AN65" i="1"/>
  <c r="AN64" i="1" s="1"/>
  <c r="AP17" i="1"/>
  <c r="AP22" i="1"/>
  <c r="AP18" i="1"/>
  <c r="AQ10" i="1"/>
  <c r="AP16" i="1"/>
  <c r="AP42" i="1"/>
  <c r="AP40" i="1" s="1"/>
  <c r="AP15" i="1"/>
  <c r="AM69" i="1"/>
  <c r="AM70" i="1"/>
  <c r="AM67" i="1"/>
  <c r="AO12" i="1"/>
  <c r="AO24" i="1"/>
  <c r="AO28" i="1"/>
  <c r="AO29" i="1"/>
  <c r="AO19" i="1"/>
  <c r="AO27" i="1"/>
  <c r="AO21" i="1" s="1"/>
  <c r="BB30" i="1"/>
  <c r="BP60" i="1"/>
  <c r="BO58" i="1"/>
  <c r="BP54" i="1"/>
  <c r="BO52" i="1"/>
  <c r="J71" i="1" l="1"/>
  <c r="J72" i="1" s="1"/>
  <c r="I73" i="1"/>
  <c r="BQ60" i="1"/>
  <c r="BY60" i="1" s="1"/>
  <c r="BQ54" i="1"/>
  <c r="BY54" i="1" s="1"/>
  <c r="AO3" i="1"/>
  <c r="AO65" i="1"/>
  <c r="AO64" i="1" s="1"/>
  <c r="AP19" i="1"/>
  <c r="AP27" i="1"/>
  <c r="AP28" i="1"/>
  <c r="AP29" i="1"/>
  <c r="AQ15" i="1"/>
  <c r="AQ18" i="1"/>
  <c r="AQ22" i="1"/>
  <c r="AQ16" i="1"/>
  <c r="AQ42" i="1"/>
  <c r="AQ40" i="1" s="1"/>
  <c r="AQ17" i="1"/>
  <c r="AR10" i="1"/>
  <c r="AP24" i="1"/>
  <c r="AN67" i="1"/>
  <c r="AN69" i="1"/>
  <c r="AN70" i="1"/>
  <c r="AP12" i="1"/>
  <c r="AP3" i="1" s="1"/>
  <c r="BP58" i="1"/>
  <c r="BQ58" i="1" s="1"/>
  <c r="BX60" i="1"/>
  <c r="BP52" i="1"/>
  <c r="BQ52" i="1" s="1"/>
  <c r="BX54" i="1"/>
  <c r="BW31" i="1"/>
  <c r="BW35" i="1"/>
  <c r="BC30" i="1"/>
  <c r="AQ24" i="1" l="1"/>
  <c r="K71" i="1"/>
  <c r="K72" i="1" s="1"/>
  <c r="J73" i="1"/>
  <c r="AS10" i="1"/>
  <c r="AR18" i="1"/>
  <c r="AR42" i="1"/>
  <c r="BV42" i="1" s="1"/>
  <c r="AR22" i="1"/>
  <c r="AR15" i="1"/>
  <c r="AR17" i="1"/>
  <c r="BV17" i="1" s="1"/>
  <c r="AR16" i="1"/>
  <c r="BV16" i="1" s="1"/>
  <c r="AO67" i="1"/>
  <c r="AO69" i="1"/>
  <c r="AO70" i="1"/>
  <c r="AQ28" i="1"/>
  <c r="AQ29" i="1"/>
  <c r="AQ19" i="1"/>
  <c r="AQ27" i="1"/>
  <c r="AQ21" i="1" s="1"/>
  <c r="AP21" i="1"/>
  <c r="AQ12" i="1"/>
  <c r="BX52" i="1"/>
  <c r="BY52" i="1"/>
  <c r="BX58" i="1"/>
  <c r="BY58" i="1"/>
  <c r="BD30" i="1"/>
  <c r="L71" i="1" l="1"/>
  <c r="L72" i="1" s="1"/>
  <c r="K73" i="1"/>
  <c r="AR40" i="1"/>
  <c r="BV40" i="1" s="1"/>
  <c r="D7" i="4" s="1"/>
  <c r="AR12" i="1"/>
  <c r="BV15" i="1"/>
  <c r="BV22" i="1"/>
  <c r="AR24" i="1"/>
  <c r="BV18" i="1"/>
  <c r="AR27" i="1"/>
  <c r="BV27" i="1" s="1"/>
  <c r="AR28" i="1"/>
  <c r="BV28" i="1" s="1"/>
  <c r="AR29" i="1"/>
  <c r="BV29" i="1" s="1"/>
  <c r="AR19" i="1"/>
  <c r="AQ3" i="1"/>
  <c r="AQ65" i="1"/>
  <c r="AQ64" i="1" s="1"/>
  <c r="AT10" i="1"/>
  <c r="AS22" i="1"/>
  <c r="AS24" i="1" s="1"/>
  <c r="AS15" i="1"/>
  <c r="AS16" i="1"/>
  <c r="AS42" i="1"/>
  <c r="AS40" i="1" s="1"/>
  <c r="AS17" i="1"/>
  <c r="AS18" i="1"/>
  <c r="AP65" i="1"/>
  <c r="BW30" i="1"/>
  <c r="BE30" i="1"/>
  <c r="M71" i="1" l="1"/>
  <c r="M72" i="1" s="1"/>
  <c r="L73" i="1"/>
  <c r="AP64" i="1"/>
  <c r="AR21" i="1"/>
  <c r="BV21" i="1" s="1"/>
  <c r="D6" i="4" s="1"/>
  <c r="AP67" i="1"/>
  <c r="AP69" i="1"/>
  <c r="AP70" i="1"/>
  <c r="AQ70" i="1"/>
  <c r="AQ69" i="1"/>
  <c r="AQ67" i="1"/>
  <c r="AS12" i="1"/>
  <c r="AS28" i="1"/>
  <c r="AS27" i="1"/>
  <c r="AS21" i="1" s="1"/>
  <c r="AS19" i="1"/>
  <c r="AS29" i="1"/>
  <c r="AT42" i="1"/>
  <c r="AT40" i="1" s="1"/>
  <c r="AU10" i="1"/>
  <c r="AT17" i="1"/>
  <c r="AT15" i="1"/>
  <c r="AT18" i="1"/>
  <c r="AT22" i="1"/>
  <c r="AT16" i="1"/>
  <c r="BV12" i="1"/>
  <c r="D5" i="4" s="1"/>
  <c r="AR3" i="1"/>
  <c r="BF30" i="1"/>
  <c r="BT65" i="1"/>
  <c r="N71" i="1" l="1"/>
  <c r="N72" i="1" s="1"/>
  <c r="M73" i="1"/>
  <c r="AT24" i="1"/>
  <c r="B8" i="4"/>
  <c r="BT64" i="1"/>
  <c r="AR65" i="1"/>
  <c r="AR67" i="1" s="1"/>
  <c r="AU15" i="1"/>
  <c r="AV10" i="1"/>
  <c r="AU16" i="1"/>
  <c r="AU42" i="1"/>
  <c r="AU40" i="1" s="1"/>
  <c r="AU22" i="1"/>
  <c r="AU18" i="1"/>
  <c r="AU17" i="1"/>
  <c r="AR70" i="1"/>
  <c r="AT27" i="1"/>
  <c r="AT21" i="1" s="1"/>
  <c r="AT29" i="1"/>
  <c r="AT28" i="1"/>
  <c r="AT19" i="1"/>
  <c r="AT12" i="1"/>
  <c r="AS3" i="1"/>
  <c r="AS65" i="1"/>
  <c r="AS64" i="1" s="1"/>
  <c r="BT69" i="1"/>
  <c r="B9" i="4" s="1"/>
  <c r="G9" i="4" s="1"/>
  <c r="BT70" i="1"/>
  <c r="B10" i="4" s="1"/>
  <c r="G10" i="4" s="1"/>
  <c r="R69" i="1"/>
  <c r="S69" i="1" s="1"/>
  <c r="R70" i="1"/>
  <c r="R67" i="1"/>
  <c r="BG30" i="1"/>
  <c r="AR69" i="1" l="1"/>
  <c r="O71" i="1"/>
  <c r="O72" i="1" s="1"/>
  <c r="N73" i="1"/>
  <c r="BV65" i="1"/>
  <c r="BV64" i="1" s="1"/>
  <c r="AR64" i="1"/>
  <c r="AT3" i="1"/>
  <c r="AT65" i="1"/>
  <c r="AT64" i="1" s="1"/>
  <c r="AU24" i="1"/>
  <c r="AU19" i="1"/>
  <c r="AU29" i="1"/>
  <c r="AU27" i="1"/>
  <c r="AU21" i="1" s="1"/>
  <c r="AU28" i="1"/>
  <c r="AS70" i="1"/>
  <c r="AS69" i="1"/>
  <c r="AS67" i="1"/>
  <c r="AV42" i="1"/>
  <c r="AV40" i="1" s="1"/>
  <c r="AV22" i="1"/>
  <c r="AV17" i="1"/>
  <c r="AV16" i="1"/>
  <c r="AV15" i="1"/>
  <c r="AV18" i="1"/>
  <c r="AW10" i="1"/>
  <c r="AU12" i="1"/>
  <c r="S70" i="1"/>
  <c r="BU65" i="1"/>
  <c r="BH30" i="1"/>
  <c r="AV24" i="1" l="1"/>
  <c r="P71" i="1"/>
  <c r="O73" i="1"/>
  <c r="BV69" i="1"/>
  <c r="BV70" i="1"/>
  <c r="D8" i="4"/>
  <c r="C8" i="4"/>
  <c r="BU64" i="1"/>
  <c r="AW18" i="1"/>
  <c r="AW42" i="1"/>
  <c r="AW40" i="1" s="1"/>
  <c r="AW17" i="1"/>
  <c r="AW16" i="1"/>
  <c r="AW15" i="1"/>
  <c r="AW22" i="1"/>
  <c r="AX10" i="1"/>
  <c r="AU65" i="1"/>
  <c r="AU64" i="1" s="1"/>
  <c r="AU3" i="1"/>
  <c r="AV12" i="1"/>
  <c r="AT67" i="1"/>
  <c r="AT69" i="1"/>
  <c r="AT70" i="1"/>
  <c r="AV27" i="1"/>
  <c r="AV21" i="1" s="1"/>
  <c r="AV29" i="1"/>
  <c r="AV28" i="1"/>
  <c r="AV19" i="1"/>
  <c r="BU69" i="1"/>
  <c r="BU70" i="1"/>
  <c r="T70" i="1"/>
  <c r="T69" i="1"/>
  <c r="U70" i="1"/>
  <c r="U69" i="1"/>
  <c r="U67" i="1"/>
  <c r="T67" i="1"/>
  <c r="BI30" i="1"/>
  <c r="Q71" i="1" l="1"/>
  <c r="P72" i="1"/>
  <c r="P73" i="1" s="1"/>
  <c r="AW24" i="1"/>
  <c r="AW12" i="1"/>
  <c r="AW3" i="1" s="1"/>
  <c r="AV3" i="1"/>
  <c r="AV65" i="1"/>
  <c r="AV64" i="1" s="1"/>
  <c r="AU67" i="1"/>
  <c r="AU69" i="1"/>
  <c r="AU70" i="1"/>
  <c r="AX42" i="1"/>
  <c r="AX40" i="1" s="1"/>
  <c r="AX16" i="1"/>
  <c r="AX17" i="1"/>
  <c r="AX15" i="1"/>
  <c r="AX22" i="1"/>
  <c r="AX18" i="1"/>
  <c r="AY10" i="1"/>
  <c r="AW29" i="1"/>
  <c r="AW28" i="1"/>
  <c r="AW19" i="1"/>
  <c r="AW27" i="1"/>
  <c r="AW21" i="1" s="1"/>
  <c r="AW65" i="1" s="1"/>
  <c r="AW64" i="1" s="1"/>
  <c r="BJ30" i="1"/>
  <c r="Q72" i="1" l="1"/>
  <c r="Q73" i="1" s="1"/>
  <c r="R71" i="1"/>
  <c r="S71" i="1" s="1"/>
  <c r="AX27" i="1"/>
  <c r="AX21" i="1" s="1"/>
  <c r="AX19" i="1"/>
  <c r="AX29" i="1"/>
  <c r="AX28" i="1"/>
  <c r="AW69" i="1"/>
  <c r="AW67" i="1"/>
  <c r="AW70" i="1"/>
  <c r="AY42" i="1"/>
  <c r="AY40" i="1" s="1"/>
  <c r="AZ10" i="1"/>
  <c r="AY16" i="1"/>
  <c r="AY15" i="1"/>
  <c r="AY22" i="1"/>
  <c r="AY17" i="1"/>
  <c r="AY18" i="1"/>
  <c r="AX24" i="1"/>
  <c r="AV67" i="1"/>
  <c r="AV70" i="1"/>
  <c r="AV69" i="1"/>
  <c r="AX12" i="1"/>
  <c r="BK30" i="1"/>
  <c r="BT71" i="1" l="1"/>
  <c r="T71" i="1"/>
  <c r="U71" i="1" s="1"/>
  <c r="V71" i="1" s="1"/>
  <c r="W71" i="1" s="1"/>
  <c r="AY24" i="1"/>
  <c r="AY28" i="1"/>
  <c r="AY29" i="1"/>
  <c r="AY27" i="1"/>
  <c r="AY21" i="1" s="1"/>
  <c r="AY19" i="1"/>
  <c r="AY12" i="1"/>
  <c r="AX3" i="1"/>
  <c r="AX65" i="1"/>
  <c r="AX64" i="1" s="1"/>
  <c r="AZ17" i="1"/>
  <c r="AZ42" i="1"/>
  <c r="AZ40" i="1" s="1"/>
  <c r="AZ22" i="1"/>
  <c r="AZ16" i="1"/>
  <c r="BA10" i="1"/>
  <c r="AZ15" i="1"/>
  <c r="AZ18" i="1"/>
  <c r="BL30" i="1"/>
  <c r="AY3" i="1" l="1"/>
  <c r="AY65" i="1"/>
  <c r="AY64" i="1" s="1"/>
  <c r="AX67" i="1"/>
  <c r="AX70" i="1"/>
  <c r="AX69" i="1"/>
  <c r="AZ12" i="1"/>
  <c r="AZ3" i="1" s="1"/>
  <c r="AZ19" i="1"/>
  <c r="AZ29" i="1"/>
  <c r="AZ27" i="1"/>
  <c r="AZ21" i="1" s="1"/>
  <c r="AZ28" i="1"/>
  <c r="BA22" i="1"/>
  <c r="BA17" i="1"/>
  <c r="BA15" i="1"/>
  <c r="BA42" i="1"/>
  <c r="BA40" i="1" s="1"/>
  <c r="BA18" i="1"/>
  <c r="BA16" i="1"/>
  <c r="BB10" i="1"/>
  <c r="AZ24" i="1"/>
  <c r="X71" i="1"/>
  <c r="BM30" i="1"/>
  <c r="BA12" i="1" l="1"/>
  <c r="BA3" i="1" s="1"/>
  <c r="AZ65" i="1"/>
  <c r="AZ64" i="1" s="1"/>
  <c r="AY67" i="1"/>
  <c r="AY70" i="1"/>
  <c r="AY69" i="1"/>
  <c r="BA19" i="1"/>
  <c r="BA27" i="1"/>
  <c r="BA21" i="1" s="1"/>
  <c r="BA65" i="1" s="1"/>
  <c r="BA64" i="1" s="1"/>
  <c r="BA29" i="1"/>
  <c r="BA28" i="1"/>
  <c r="BA24" i="1"/>
  <c r="BB16" i="1"/>
  <c r="BC10" i="1"/>
  <c r="BB17" i="1"/>
  <c r="BB22" i="1"/>
  <c r="BB15" i="1"/>
  <c r="BB18" i="1"/>
  <c r="BB42" i="1"/>
  <c r="BB40" i="1" s="1"/>
  <c r="Y71" i="1"/>
  <c r="BN30" i="1"/>
  <c r="BA70" i="1" l="1"/>
  <c r="BA69" i="1"/>
  <c r="BA67" i="1"/>
  <c r="BB27" i="1"/>
  <c r="BB21" i="1" s="1"/>
  <c r="BB28" i="1"/>
  <c r="BB29" i="1"/>
  <c r="BB19" i="1"/>
  <c r="AZ69" i="1"/>
  <c r="AZ67" i="1"/>
  <c r="AZ70" i="1"/>
  <c r="BB12" i="1"/>
  <c r="BC42" i="1"/>
  <c r="BC40" i="1" s="1"/>
  <c r="BC17" i="1"/>
  <c r="BC16" i="1"/>
  <c r="BD10" i="1"/>
  <c r="BC22" i="1"/>
  <c r="BC15" i="1"/>
  <c r="BC18" i="1"/>
  <c r="BB24" i="1"/>
  <c r="Z71" i="1"/>
  <c r="BO30" i="1"/>
  <c r="BB3" i="1" l="1"/>
  <c r="BB65" i="1"/>
  <c r="BB64" i="1" s="1"/>
  <c r="BC24" i="1"/>
  <c r="BC28" i="1"/>
  <c r="BC29" i="1"/>
  <c r="BC27" i="1"/>
  <c r="BC21" i="1" s="1"/>
  <c r="BC19" i="1"/>
  <c r="BC12" i="1"/>
  <c r="BD42" i="1"/>
  <c r="BD18" i="1"/>
  <c r="BD22" i="1"/>
  <c r="BD15" i="1"/>
  <c r="BD17" i="1"/>
  <c r="BW17" i="1" s="1"/>
  <c r="BD16" i="1"/>
  <c r="BW16" i="1" s="1"/>
  <c r="BE10" i="1"/>
  <c r="AA71" i="1"/>
  <c r="BY31" i="1"/>
  <c r="BX31" i="1"/>
  <c r="BP30" i="1"/>
  <c r="BQ30" i="1" s="1"/>
  <c r="BY30" i="1" s="1"/>
  <c r="BX35" i="1"/>
  <c r="BY35" i="1" s="1"/>
  <c r="BD40" i="1" l="1"/>
  <c r="BW40" i="1" s="1"/>
  <c r="E7" i="4" s="1"/>
  <c r="BW42" i="1"/>
  <c r="BW22" i="1"/>
  <c r="BD24" i="1"/>
  <c r="BE22" i="1"/>
  <c r="BE17" i="1"/>
  <c r="BF10" i="1"/>
  <c r="BE16" i="1"/>
  <c r="BE18" i="1"/>
  <c r="BE42" i="1"/>
  <c r="BE40" i="1" s="1"/>
  <c r="BE15" i="1"/>
  <c r="BB70" i="1"/>
  <c r="BB67" i="1"/>
  <c r="BB69" i="1"/>
  <c r="BW27" i="1"/>
  <c r="BD12" i="1"/>
  <c r="BW15" i="1"/>
  <c r="BW18" i="1"/>
  <c r="BD19" i="1"/>
  <c r="BD27" i="1"/>
  <c r="BD21" i="1" s="1"/>
  <c r="BW21" i="1" s="1"/>
  <c r="E6" i="4" s="1"/>
  <c r="BD29" i="1"/>
  <c r="BW29" i="1" s="1"/>
  <c r="BD28" i="1"/>
  <c r="BW28" i="1" s="1"/>
  <c r="BC65" i="1"/>
  <c r="BC64" i="1" s="1"/>
  <c r="BC3" i="1"/>
  <c r="BX30" i="1"/>
  <c r="AB71" i="1"/>
  <c r="BW12" i="1" l="1"/>
  <c r="E5" i="4" s="1"/>
  <c r="BD65" i="1"/>
  <c r="BD64" i="1" s="1"/>
  <c r="BD3" i="1"/>
  <c r="BC69" i="1"/>
  <c r="BC67" i="1"/>
  <c r="BC70" i="1"/>
  <c r="BE24" i="1"/>
  <c r="BE12" i="1"/>
  <c r="BE19" i="1"/>
  <c r="BE28" i="1"/>
  <c r="BE27" i="1"/>
  <c r="BE21" i="1" s="1"/>
  <c r="BE29" i="1"/>
  <c r="BF42" i="1"/>
  <c r="BF40" i="1" s="1"/>
  <c r="BF18" i="1"/>
  <c r="BF22" i="1"/>
  <c r="BF16" i="1"/>
  <c r="BF17" i="1"/>
  <c r="BF15" i="1"/>
  <c r="BG10" i="1"/>
  <c r="AC71" i="1"/>
  <c r="BF24" i="1" l="1"/>
  <c r="BF29" i="1"/>
  <c r="BF28" i="1"/>
  <c r="BF27" i="1"/>
  <c r="BF21" i="1" s="1"/>
  <c r="BF19" i="1"/>
  <c r="BG16" i="1"/>
  <c r="BG15" i="1"/>
  <c r="BG12" i="1" s="1"/>
  <c r="BG22" i="1"/>
  <c r="BG24" i="1" s="1"/>
  <c r="BG42" i="1"/>
  <c r="BG40" i="1" s="1"/>
  <c r="BG18" i="1"/>
  <c r="BG17" i="1"/>
  <c r="BH10" i="1"/>
  <c r="BF12" i="1"/>
  <c r="BD67" i="1"/>
  <c r="BD70" i="1"/>
  <c r="BD69" i="1"/>
  <c r="BE65" i="1"/>
  <c r="BE64" i="1" s="1"/>
  <c r="BE3" i="1"/>
  <c r="BW65" i="1"/>
  <c r="BW64" i="1" s="1"/>
  <c r="AD71" i="1"/>
  <c r="BF65" i="1" l="1"/>
  <c r="BF64" i="1" s="1"/>
  <c r="BF3" i="1"/>
  <c r="BE70" i="1"/>
  <c r="BE67" i="1"/>
  <c r="BE69" i="1"/>
  <c r="BH22" i="1"/>
  <c r="BH15" i="1"/>
  <c r="BH16" i="1"/>
  <c r="BI10" i="1"/>
  <c r="BH18" i="1"/>
  <c r="BH17" i="1"/>
  <c r="BH42" i="1"/>
  <c r="BH40" i="1" s="1"/>
  <c r="BW69" i="1"/>
  <c r="E8" i="4"/>
  <c r="BW70" i="1"/>
  <c r="BG3" i="1"/>
  <c r="BG27" i="1"/>
  <c r="BG21" i="1" s="1"/>
  <c r="BG65" i="1" s="1"/>
  <c r="BG64" i="1" s="1"/>
  <c r="BG28" i="1"/>
  <c r="BG19" i="1"/>
  <c r="BG29" i="1"/>
  <c r="AE71" i="1"/>
  <c r="BU71" i="1" s="1"/>
  <c r="BH24" i="1" l="1"/>
  <c r="BH12" i="1"/>
  <c r="BH19" i="1"/>
  <c r="BH27" i="1"/>
  <c r="BH21" i="1" s="1"/>
  <c r="BH29" i="1"/>
  <c r="BH28" i="1"/>
  <c r="BG70" i="1"/>
  <c r="BG69" i="1"/>
  <c r="BG67" i="1"/>
  <c r="BI42" i="1"/>
  <c r="BI40" i="1" s="1"/>
  <c r="BJ10" i="1"/>
  <c r="BI22" i="1"/>
  <c r="BI18" i="1"/>
  <c r="BI16" i="1"/>
  <c r="BI17" i="1"/>
  <c r="BI15" i="1"/>
  <c r="BF70" i="1"/>
  <c r="BF69" i="1"/>
  <c r="BF67" i="1"/>
  <c r="AG71" i="1"/>
  <c r="BI12" i="1" l="1"/>
  <c r="BI3" i="1"/>
  <c r="BJ15" i="1"/>
  <c r="BJ16" i="1"/>
  <c r="BJ18" i="1"/>
  <c r="BJ17" i="1"/>
  <c r="BK10" i="1"/>
  <c r="BJ42" i="1"/>
  <c r="BJ40" i="1" s="1"/>
  <c r="BJ22" i="1"/>
  <c r="BI19" i="1"/>
  <c r="BI29" i="1"/>
  <c r="BI28" i="1"/>
  <c r="BI27" i="1"/>
  <c r="BI21" i="1" s="1"/>
  <c r="BI24" i="1"/>
  <c r="BH3" i="1"/>
  <c r="BH65" i="1"/>
  <c r="BH64" i="1" s="1"/>
  <c r="AH71" i="1"/>
  <c r="BI65" i="1" l="1"/>
  <c r="BI64" i="1" s="1"/>
  <c r="BK18" i="1"/>
  <c r="BL10" i="1"/>
  <c r="BK17" i="1"/>
  <c r="BK22" i="1"/>
  <c r="BK24" i="1" s="1"/>
  <c r="BK42" i="1"/>
  <c r="BK40" i="1" s="1"/>
  <c r="BK15" i="1"/>
  <c r="BK16" i="1"/>
  <c r="BJ19" i="1"/>
  <c r="BJ28" i="1"/>
  <c r="BJ27" i="1"/>
  <c r="BJ21" i="1" s="1"/>
  <c r="BJ29" i="1"/>
  <c r="BJ12" i="1"/>
  <c r="BH70" i="1"/>
  <c r="BH69" i="1"/>
  <c r="BH67" i="1"/>
  <c r="BJ24" i="1"/>
  <c r="AI71" i="1"/>
  <c r="BI69" i="1" l="1"/>
  <c r="BI67" i="1"/>
  <c r="BI70" i="1"/>
  <c r="BJ3" i="1"/>
  <c r="BJ65" i="1"/>
  <c r="BJ64" i="1" s="1"/>
  <c r="BL18" i="1"/>
  <c r="BL17" i="1"/>
  <c r="BL16" i="1"/>
  <c r="BL15" i="1"/>
  <c r="BL12" i="1" s="1"/>
  <c r="BL22" i="1"/>
  <c r="BM10" i="1"/>
  <c r="BL42" i="1"/>
  <c r="BL40" i="1" s="1"/>
  <c r="BK29" i="1"/>
  <c r="BK28" i="1"/>
  <c r="BK27" i="1"/>
  <c r="BK21" i="1" s="1"/>
  <c r="BK19" i="1"/>
  <c r="BK12" i="1"/>
  <c r="AJ71" i="1"/>
  <c r="BL24" i="1" l="1"/>
  <c r="BM15" i="1"/>
  <c r="BM18" i="1"/>
  <c r="BM17" i="1"/>
  <c r="BN10" i="1"/>
  <c r="BM22" i="1"/>
  <c r="BM42" i="1"/>
  <c r="BM40" i="1" s="1"/>
  <c r="BM16" i="1"/>
  <c r="BL65" i="1"/>
  <c r="BL64" i="1" s="1"/>
  <c r="BL3" i="1"/>
  <c r="BK3" i="1"/>
  <c r="BK65" i="1"/>
  <c r="BK64" i="1" s="1"/>
  <c r="BL19" i="1"/>
  <c r="BL27" i="1"/>
  <c r="BL21" i="1" s="1"/>
  <c r="BL29" i="1"/>
  <c r="BL28" i="1"/>
  <c r="BJ67" i="1"/>
  <c r="BJ70" i="1"/>
  <c r="BJ69" i="1"/>
  <c r="AK71" i="1"/>
  <c r="BM24" i="1" l="1"/>
  <c r="BM27" i="1"/>
  <c r="BM21" i="1" s="1"/>
  <c r="BM19" i="1"/>
  <c r="BM28" i="1"/>
  <c r="BM29" i="1"/>
  <c r="BL69" i="1"/>
  <c r="BL70" i="1"/>
  <c r="BL67" i="1"/>
  <c r="BO10" i="1"/>
  <c r="BN42" i="1"/>
  <c r="BN40" i="1" s="1"/>
  <c r="BN17" i="1"/>
  <c r="BN15" i="1"/>
  <c r="BN16" i="1"/>
  <c r="BN22" i="1"/>
  <c r="BN18" i="1"/>
  <c r="BK69" i="1"/>
  <c r="BK67" i="1"/>
  <c r="BK70" i="1"/>
  <c r="BM12" i="1"/>
  <c r="BM3" i="1" s="1"/>
  <c r="AL71" i="1"/>
  <c r="BN24" i="1" l="1"/>
  <c r="BN12" i="1"/>
  <c r="BM65" i="1"/>
  <c r="BM64" i="1" s="1"/>
  <c r="BN29" i="1"/>
  <c r="BN28" i="1"/>
  <c r="BN27" i="1"/>
  <c r="BN19" i="1"/>
  <c r="BO15" i="1"/>
  <c r="BO42" i="1"/>
  <c r="BO40" i="1" s="1"/>
  <c r="BO16" i="1"/>
  <c r="BO17" i="1"/>
  <c r="BO22" i="1"/>
  <c r="BP10" i="1"/>
  <c r="BQ10" i="1" s="1"/>
  <c r="BO18" i="1"/>
  <c r="AM71" i="1"/>
  <c r="BO12" i="1" l="1"/>
  <c r="BP22" i="1"/>
  <c r="BP16" i="1"/>
  <c r="BP15" i="1"/>
  <c r="BQ15" i="1" s="1"/>
  <c r="BP42" i="1"/>
  <c r="BP18" i="1"/>
  <c r="BP17" i="1"/>
  <c r="BO24" i="1"/>
  <c r="BN21" i="1"/>
  <c r="BN65" i="1" s="1"/>
  <c r="BN64" i="1" s="1"/>
  <c r="BM69" i="1"/>
  <c r="BM67" i="1"/>
  <c r="BM70" i="1"/>
  <c r="BN3" i="1"/>
  <c r="BO28" i="1"/>
  <c r="BO29" i="1"/>
  <c r="BO19" i="1"/>
  <c r="BO27" i="1"/>
  <c r="BO21" i="1" s="1"/>
  <c r="AN71" i="1"/>
  <c r="BX17" i="1" l="1"/>
  <c r="BQ17" i="1"/>
  <c r="BQ22" i="1"/>
  <c r="BY22" i="1" s="1"/>
  <c r="BQ18" i="1"/>
  <c r="BY18" i="1" s="1"/>
  <c r="BP40" i="1"/>
  <c r="BQ40" i="1" s="1"/>
  <c r="BQ42" i="1"/>
  <c r="BY42" i="1" s="1"/>
  <c r="BX16" i="1"/>
  <c r="BQ16" i="1"/>
  <c r="BP12" i="1"/>
  <c r="BQ12" i="1" s="1"/>
  <c r="BO65" i="1"/>
  <c r="BO64" i="1" s="1"/>
  <c r="BO3" i="1"/>
  <c r="BX42" i="1"/>
  <c r="BP29" i="1"/>
  <c r="BP27" i="1"/>
  <c r="BQ27" i="1" s="1"/>
  <c r="BP19" i="1"/>
  <c r="BQ19" i="1" s="1"/>
  <c r="BP28" i="1"/>
  <c r="BN67" i="1"/>
  <c r="BN69" i="1"/>
  <c r="BN70" i="1"/>
  <c r="BP24" i="1"/>
  <c r="BQ24" i="1" s="1"/>
  <c r="BX22" i="1"/>
  <c r="BX15" i="1"/>
  <c r="BX18" i="1"/>
  <c r="AO71" i="1"/>
  <c r="BX28" i="1" l="1"/>
  <c r="BQ28" i="1"/>
  <c r="BY28" i="1" s="1"/>
  <c r="BX40" i="1"/>
  <c r="BX29" i="1"/>
  <c r="BQ29" i="1"/>
  <c r="BY29" i="1" s="1"/>
  <c r="BO69" i="1"/>
  <c r="BO70" i="1"/>
  <c r="BO67" i="1"/>
  <c r="BX12" i="1"/>
  <c r="F5" i="4" s="1"/>
  <c r="G5" i="4" s="1"/>
  <c r="BP3" i="1"/>
  <c r="BY27" i="1"/>
  <c r="BX27" i="1"/>
  <c r="BP21" i="1"/>
  <c r="AP71" i="1"/>
  <c r="BX21" i="1" l="1"/>
  <c r="F6" i="4" s="1"/>
  <c r="G6" i="4" s="1"/>
  <c r="BQ21" i="1"/>
  <c r="F7" i="4"/>
  <c r="G7" i="4" s="1"/>
  <c r="BY40" i="1"/>
  <c r="BP65" i="1"/>
  <c r="BQ65" i="1" s="1"/>
  <c r="AQ71" i="1"/>
  <c r="BX65" i="1" l="1"/>
  <c r="BX69" i="1" s="1"/>
  <c r="BY69" i="1" s="1"/>
  <c r="BP64" i="1"/>
  <c r="BQ64" i="1" s="1"/>
  <c r="BP70" i="1"/>
  <c r="BQ70" i="1" s="1"/>
  <c r="BY65" i="1"/>
  <c r="BP67" i="1"/>
  <c r="BQ67" i="1" s="1"/>
  <c r="BP69" i="1"/>
  <c r="BQ69" i="1" s="1"/>
  <c r="AR71" i="1"/>
  <c r="BV71" i="1" s="1"/>
  <c r="BX70" i="1" l="1"/>
  <c r="BY70" i="1" s="1"/>
  <c r="F8" i="4"/>
  <c r="G8" i="4" s="1"/>
  <c r="BX64" i="1"/>
  <c r="AS71" i="1"/>
  <c r="AT71" i="1" l="1"/>
  <c r="AU71" i="1" l="1"/>
  <c r="AV71" i="1" l="1"/>
  <c r="AW71" i="1" l="1"/>
  <c r="AX71" i="1" l="1"/>
  <c r="AY71" i="1" l="1"/>
  <c r="AZ71" i="1" l="1"/>
  <c r="BA71" i="1" l="1"/>
  <c r="BB71" i="1" l="1"/>
  <c r="BC71" i="1" l="1"/>
  <c r="BD71" i="1" l="1"/>
  <c r="BW71" i="1" s="1"/>
  <c r="BE71" i="1" l="1"/>
  <c r="BF71" i="1" l="1"/>
  <c r="BG71" i="1" l="1"/>
  <c r="BH71" i="1" l="1"/>
  <c r="BI71" i="1" l="1"/>
  <c r="BJ71" i="1" l="1"/>
  <c r="BK71" i="1" l="1"/>
  <c r="BL71" i="1" l="1"/>
  <c r="BM71" i="1" l="1"/>
  <c r="BN71" i="1" l="1"/>
  <c r="BO71" i="1" l="1"/>
  <c r="BP71" i="1" l="1"/>
  <c r="BX71" i="1" s="1"/>
  <c r="BY71" i="1" l="1"/>
</calcChain>
</file>

<file path=xl/sharedStrings.xml><?xml version="1.0" encoding="utf-8"?>
<sst xmlns="http://schemas.openxmlformats.org/spreadsheetml/2006/main" count="321" uniqueCount="194">
  <si>
    <t>COS</t>
  </si>
  <si>
    <t>Net profit</t>
  </si>
  <si>
    <t>Paperless RICA</t>
  </si>
  <si>
    <t>Dependent on final product composition of voice and/or data and/or SMS</t>
  </si>
  <si>
    <t>ARPU per month</t>
  </si>
  <si>
    <t>Monthly Nett profit framework</t>
  </si>
  <si>
    <t>DM Share @ 50%</t>
  </si>
  <si>
    <t>Inclusive Minutes</t>
  </si>
  <si>
    <t>Inclusive Megabytes</t>
  </si>
  <si>
    <t>Inclusive SMS</t>
  </si>
  <si>
    <t>Price</t>
  </si>
  <si>
    <t>Sim card</t>
  </si>
  <si>
    <t>Minute cost</t>
  </si>
  <si>
    <t>Data Cost</t>
  </si>
  <si>
    <t>SMS Cost</t>
  </si>
  <si>
    <t>Total cost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</si>
  <si>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</si>
  <si>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</si>
  <si>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</si>
  <si>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</si>
  <si>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</si>
  <si>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</si>
  <si>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</si>
  <si>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</si>
  <si>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</si>
  <si>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</si>
  <si>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</si>
  <si>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</si>
  <si>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</si>
  <si>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</si>
  <si>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</si>
  <si>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</si>
  <si>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</si>
  <si>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</si>
  <si>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</si>
  <si>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</si>
  <si>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</si>
  <si>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</si>
  <si>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</si>
  <si>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</si>
  <si>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</si>
  <si>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</si>
  <si>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</si>
  <si>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</si>
  <si>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</si>
  <si>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</si>
  <si>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</si>
  <si>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</si>
  <si>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</si>
  <si>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</si>
  <si>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</si>
  <si>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</si>
  <si>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Subscribers</t>
  </si>
  <si>
    <t>Revenue</t>
  </si>
  <si>
    <t>Price ex VAT</t>
  </si>
  <si>
    <t>Totals</t>
  </si>
  <si>
    <t xml:space="preserve">Margin </t>
  </si>
  <si>
    <t>Data Bundle</t>
  </si>
  <si>
    <t>250mb</t>
  </si>
  <si>
    <t>550mb</t>
  </si>
  <si>
    <t>750mb</t>
  </si>
  <si>
    <t>1,5GB</t>
  </si>
  <si>
    <t>2,25GB</t>
  </si>
  <si>
    <t>5,5GB</t>
  </si>
  <si>
    <t>7GB</t>
  </si>
  <si>
    <t>10,25GB</t>
  </si>
  <si>
    <t>Retail Price inc VAT</t>
  </si>
  <si>
    <t>Included Minutes</t>
  </si>
  <si>
    <t>Voice bundle</t>
  </si>
  <si>
    <t>Included SMS</t>
  </si>
  <si>
    <t>SMS Bundle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</si>
  <si>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</si>
  <si>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</si>
  <si>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</si>
  <si>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</si>
  <si>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</si>
  <si>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</si>
  <si>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</si>
  <si>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</si>
  <si>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</si>
  <si>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</si>
  <si>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</si>
  <si>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</si>
  <si>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</si>
  <si>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</si>
  <si>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</si>
  <si>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</si>
  <si>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</si>
  <si>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</si>
  <si>
    <t>Month 55</t>
  </si>
  <si>
    <t>Month 56</t>
  </si>
  <si>
    <t>Month 57</t>
  </si>
  <si>
    <t>Month 58</t>
  </si>
  <si>
    <t>Month 59</t>
  </si>
  <si>
    <t>Month 60</t>
  </si>
  <si>
    <t>Yr 1</t>
  </si>
  <si>
    <t>Yr 2</t>
  </si>
  <si>
    <t>Yr 3</t>
  </si>
  <si>
    <t>Yr 4</t>
  </si>
  <si>
    <t>Yr5</t>
  </si>
  <si>
    <r>
      <rPr>
        <sz val="11"/>
        <color theme="1"/>
        <rFont val="Arial"/>
        <family val="2"/>
      </rPr>
      <t xml:space="preserve">Annual </t>
    </r>
    <r>
      <rPr>
        <b/>
        <sz val="11"/>
        <color theme="1"/>
        <rFont val="Arial"/>
        <family val="2"/>
      </rPr>
      <t>Nett profit framework</t>
    </r>
  </si>
  <si>
    <t>KCM Share @ 50%</t>
  </si>
  <si>
    <t>KCM 1.5 GB</t>
  </si>
  <si>
    <t>KCM 3 GB</t>
  </si>
  <si>
    <t>KCM 5 GB</t>
  </si>
  <si>
    <t>KCM 10 GB</t>
  </si>
  <si>
    <t>Example</t>
  </si>
  <si>
    <t>KCM App</t>
  </si>
  <si>
    <t>Wholesale Network Tarrif Costs</t>
  </si>
  <si>
    <t>SIM Mgt fee on MVNE platform R7.50 per subscriber or R75k, whichever is higher</t>
  </si>
  <si>
    <t>Contact Centre fixed per seat (seat subject to call centre vol)</t>
  </si>
  <si>
    <t>Total Commission payable to disti channels</t>
  </si>
  <si>
    <t>Physical SIM card Cost</t>
  </si>
  <si>
    <t>eSIM card Cost</t>
  </si>
  <si>
    <t>Physical SIM packaging</t>
  </si>
  <si>
    <t>Total SIM costs</t>
  </si>
  <si>
    <t>Monthly SIM distribution</t>
  </si>
  <si>
    <t>SIM card purchases physical</t>
  </si>
  <si>
    <t>SIM card purchases eSIM</t>
  </si>
  <si>
    <t>Physical sim recovery R3.60 ex VAT</t>
  </si>
  <si>
    <t>eSIM recovery R4.50 ex VAT</t>
  </si>
  <si>
    <t>Total Revenue</t>
  </si>
  <si>
    <t>Total COS</t>
  </si>
  <si>
    <t>Facilities</t>
  </si>
  <si>
    <t>Office consumables</t>
  </si>
  <si>
    <t>Finance/admin</t>
  </si>
  <si>
    <t>Rental</t>
  </si>
  <si>
    <t>Fuel (variable cost)</t>
  </si>
  <si>
    <t>Satellite tracker R209 per vehicle X 8</t>
  </si>
  <si>
    <t>Insurance @ R990 per vehicle X 8</t>
  </si>
  <si>
    <t>Vehicle costs total all escaleted @ 5%</t>
  </si>
  <si>
    <t>Internal finance resource (KC)</t>
  </si>
  <si>
    <t>Courier fees total</t>
  </si>
  <si>
    <t>Warehousing</t>
  </si>
  <si>
    <t>Physical distribution</t>
  </si>
  <si>
    <t>KC resources</t>
  </si>
  <si>
    <t>Ongoing commission to trade partner @7%</t>
  </si>
  <si>
    <t>$/R RoE</t>
  </si>
  <si>
    <t>McAfee Revenue 5% uptake @ R15.22</t>
  </si>
  <si>
    <t>Content revenue 5% @ R20</t>
  </si>
  <si>
    <t>KCM trucks consumables X 8</t>
  </si>
  <si>
    <t>Loan account</t>
  </si>
  <si>
    <t>Total Operating costs</t>
  </si>
  <si>
    <t>Travel eSIM revenue 1% @ R 249.23 (USD14,49)</t>
  </si>
  <si>
    <t>Fixed fee</t>
  </si>
  <si>
    <t>Model 1</t>
  </si>
  <si>
    <t>To DM</t>
  </si>
  <si>
    <t>To KC</t>
  </si>
  <si>
    <t>KCM app = Super utility app with:</t>
  </si>
  <si>
    <t>Support, Maint + 30 dev hours pm</t>
  </si>
  <si>
    <t>Packages, Payments, eSIM, Travel eSIM, McAfee, Consolidation of packages with VAS, Integrate KC services, Voucher dist, Number porting, RICA</t>
  </si>
  <si>
    <t>Once off commission to airtime dist. @6% (Airtime Merchants and switching platform)</t>
  </si>
  <si>
    <t>Operating costs</t>
  </si>
  <si>
    <t>Although profitable in month 3, as agreed profit share will only be made once the loan account is cleared - month 4.</t>
  </si>
  <si>
    <t>Gross Profit Margin</t>
  </si>
  <si>
    <t>Wholesale Network Tarrifs</t>
  </si>
  <si>
    <r>
      <rPr>
        <sz val="14"/>
        <color theme="1"/>
        <rFont val="Calibri"/>
        <family val="2"/>
      </rPr>
      <t xml:space="preserve">Annual </t>
    </r>
    <r>
      <rPr>
        <b/>
        <sz val="14"/>
        <color theme="1"/>
        <rFont val="Calibri"/>
        <family val="2"/>
      </rPr>
      <t>Nett profit framework</t>
    </r>
  </si>
  <si>
    <t>Support, Maint + 30 dev hrs pm</t>
  </si>
  <si>
    <t>KCMShare @ 50%</t>
  </si>
  <si>
    <t>Existing resources + campaign manager</t>
  </si>
  <si>
    <t>MVNO Campaign manager</t>
  </si>
  <si>
    <t>KC resources (5% CPI annual increase)</t>
  </si>
  <si>
    <t>Marketing costs</t>
  </si>
  <si>
    <t>Campaign, launch + marketing</t>
  </si>
  <si>
    <t>No churn in month 1, churn is on the monthly total of subscribers from Month 2</t>
  </si>
  <si>
    <t>ARPU</t>
  </si>
  <si>
    <t>Current KCM resource costs</t>
  </si>
  <si>
    <t>Subscriber numbers net of 5% monthly churn churn (5% Churn is the MVNO Avg)</t>
  </si>
  <si>
    <t>Physical sim recovery R3.60 ex VAT (Recovered from Trade partners)</t>
  </si>
  <si>
    <t>McAfee Revenue 5% uptake @ R15.22 (Identity theft Security)</t>
  </si>
  <si>
    <t>Revenue (Voice and Data Revenue)</t>
  </si>
  <si>
    <t>TOTAL</t>
  </si>
  <si>
    <t>Churn</t>
  </si>
  <si>
    <t>Gross Total</t>
  </si>
  <si>
    <t>OGR - Ongoing commission to trade partner @7%</t>
  </si>
  <si>
    <t>GP</t>
  </si>
  <si>
    <t>RTT - Physical distribution</t>
  </si>
  <si>
    <t>RTT - Warehousing</t>
  </si>
  <si>
    <t>IT &amp; Infrastructure</t>
  </si>
  <si>
    <t>Brand License</t>
  </si>
  <si>
    <t>Insurance for business</t>
  </si>
  <si>
    <t>Call agents</t>
  </si>
  <si>
    <t>SIM Mgt fee on MVNE platform R7.50 per subscriber or R75k, whichever is higher + R250k for KCM network name</t>
  </si>
  <si>
    <t>Avanaza rental</t>
  </si>
  <si>
    <t>Insurance</t>
  </si>
  <si>
    <t>nd Jan</t>
  </si>
  <si>
    <t>m</t>
  </si>
  <si>
    <t>k</t>
  </si>
  <si>
    <t>kc</t>
  </si>
  <si>
    <t>MVNE payments</t>
  </si>
  <si>
    <t>KC payments</t>
  </si>
  <si>
    <t>Interest</t>
  </si>
  <si>
    <t>Prime interest rate</t>
  </si>
  <si>
    <t>Loan repsyment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</si>
</sst>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&quot;R&quot;#,##0;[Red]\-&quot;R&quot;#,##0"/>
    <numFmt numFmtId="166" formatCode="_-[$R-1C09]* #,##0.00_-;\-[$R-1C09]* #,##0.00_-;_-[$R-1C09]* &quot;-&quot;??_-;_-@_-"/>
    <numFmt numFmtId="167" formatCode="_-[$R-1C09]* #,##0_-;\-[$R-1C09]* #,##0_-;_-[$R-1C09]* &quot;-&quot;??_-;_-@_-"/>
    <numFmt numFmtId="168" formatCode="#\ ##0\ &quot;MIN&quot;"/>
    <numFmt numFmtId="169" formatCode="#\ ##0\ &quot;MB&quot;"/>
    <numFmt numFmtId="170" formatCode="#\ ##0\ &quot;SMS&quot;"/>
    <numFmt numFmtId="171" formatCode="_-* #,##0_-;\-* #,##0_-;_-* &quot;-&quot;??_-;_-@_-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2" tint="-0.749992370372631"/>
      <name val="Century Gothic"/>
      <family val="1"/>
    </font>
    <font>
      <sz val="12"/>
      <color theme="2" tint="-0.749992370372631"/>
      <name val="Century Gothic"/>
      <family val="1"/>
    </font>
    <font>
      <sz val="12"/>
      <color theme="1" tint="0.14999847407452621"/>
      <name val="Century Gothic"/>
      <family val="1"/>
    </font>
    <font>
      <sz val="8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F0000"/>
      <name val="Arial"/>
      <family val="2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sz val="12"/>
      <color rgb="FF3A3838"/>
      <name val="Century Gothic"/>
      <family val="1"/>
    </font>
    <font>
      <b/>
      <sz val="12"/>
      <color rgb="FF595959"/>
      <name val="Century Gothic"/>
      <family val="1"/>
    </font>
    <font>
      <sz val="12"/>
      <color rgb="FF262626"/>
      <name val="Century Gothic"/>
      <family val="1"/>
    </font>
    <font>
      <b/>
      <sz val="11"/>
      <color rgb="FFFF0000"/>
      <name val="Arial"/>
      <family val="2"/>
    </font>
    <font>
      <b/>
      <sz val="11"/>
      <color rgb="FFFF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9" tint="-0.249977111117893"/>
      <name val="Arial"/>
      <family val="2"/>
    </font>
    <font>
      <b/>
      <sz val="11"/>
      <name val="Aptos Narrow"/>
      <family val="2"/>
      <scheme val="minor"/>
    </font>
    <font>
      <b/>
      <sz val="11"/>
      <color theme="9" tint="-0.249977111117893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4"/>
      <name val="Calibri"/>
      <family val="2"/>
    </font>
    <font>
      <sz val="14"/>
      <color theme="9" tint="-0.249977111117893"/>
      <name val="Calibri"/>
      <family val="2"/>
    </font>
    <font>
      <b/>
      <sz val="12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</fills>
  <borders count="19">
    <border>
      <left/>
      <right/>
      <top/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5" borderId="0" applyNumberFormat="0" applyBorder="0" applyAlignment="0" applyProtection="0"/>
  </cellStyleXfs>
  <cellXfs count="280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2" borderId="0" xfId="0" applyFont="1" applyFill="1"/>
    <xf numFmtId="166" fontId="2" fillId="2" borderId="0" xfId="0" applyNumberFormat="1" applyFont="1" applyFill="1"/>
    <xf numFmtId="167" fontId="2" fillId="2" borderId="0" xfId="0" applyNumberFormat="1" applyFont="1" applyFill="1"/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168" fontId="8" fillId="3" borderId="5" xfId="0" applyNumberFormat="1" applyFont="1" applyFill="1" applyBorder="1" applyAlignment="1">
      <alignment horizontal="right" vertical="center"/>
    </xf>
    <xf numFmtId="166" fontId="7" fillId="3" borderId="2" xfId="2" applyNumberFormat="1" applyFont="1" applyFill="1" applyBorder="1" applyAlignment="1">
      <alignment vertical="center"/>
    </xf>
    <xf numFmtId="166" fontId="7" fillId="3" borderId="4" xfId="2" applyNumberFormat="1" applyFont="1" applyFill="1" applyBorder="1" applyAlignment="1">
      <alignment vertical="center"/>
    </xf>
    <xf numFmtId="166" fontId="0" fillId="0" borderId="0" xfId="0" applyNumberFormat="1"/>
    <xf numFmtId="9" fontId="0" fillId="0" borderId="0" xfId="3" applyFont="1"/>
    <xf numFmtId="166" fontId="7" fillId="3" borderId="5" xfId="2" applyNumberFormat="1" applyFont="1" applyFill="1" applyBorder="1" applyAlignment="1">
      <alignment vertical="center"/>
    </xf>
    <xf numFmtId="171" fontId="2" fillId="2" borderId="0" xfId="1" applyNumberFormat="1" applyFont="1" applyFill="1"/>
    <xf numFmtId="0" fontId="5" fillId="2" borderId="0" xfId="0" applyFont="1" applyFill="1"/>
    <xf numFmtId="171" fontId="5" fillId="0" borderId="0" xfId="0" applyNumberFormat="1" applyFont="1"/>
    <xf numFmtId="0" fontId="4" fillId="0" borderId="0" xfId="0" applyFont="1"/>
    <xf numFmtId="0" fontId="4" fillId="2" borderId="0" xfId="0" applyFont="1" applyFill="1"/>
    <xf numFmtId="0" fontId="11" fillId="2" borderId="0" xfId="0" applyFont="1" applyFill="1"/>
    <xf numFmtId="167" fontId="11" fillId="2" borderId="0" xfId="0" applyNumberFormat="1" applyFont="1" applyFill="1"/>
    <xf numFmtId="0" fontId="12" fillId="0" borderId="3" xfId="0" applyFont="1" applyBorder="1" applyAlignment="1">
      <alignment horizontal="center" vertical="center"/>
    </xf>
    <xf numFmtId="166" fontId="13" fillId="3" borderId="4" xfId="2" applyNumberFormat="1" applyFont="1" applyFill="1" applyBorder="1" applyAlignment="1">
      <alignment vertical="center"/>
    </xf>
    <xf numFmtId="166" fontId="13" fillId="3" borderId="5" xfId="2" applyNumberFormat="1" applyFont="1" applyFill="1" applyBorder="1" applyAlignment="1">
      <alignment vertical="center"/>
    </xf>
    <xf numFmtId="168" fontId="13" fillId="3" borderId="5" xfId="0" applyNumberFormat="1" applyFont="1" applyFill="1" applyBorder="1" applyAlignment="1">
      <alignment horizontal="righ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65" fontId="0" fillId="0" borderId="6" xfId="0" applyNumberForma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166" fontId="0" fillId="2" borderId="6" xfId="4" applyNumberFormat="1" applyFont="1" applyFill="1" applyBorder="1"/>
    <xf numFmtId="0" fontId="0" fillId="2" borderId="6" xfId="4" applyFont="1" applyFill="1" applyBorder="1"/>
    <xf numFmtId="0" fontId="5" fillId="2" borderId="6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/>
    </xf>
    <xf numFmtId="166" fontId="11" fillId="2" borderId="0" xfId="0" applyNumberFormat="1" applyFont="1" applyFill="1" applyAlignment="1">
      <alignment horizontal="center"/>
    </xf>
    <xf numFmtId="167" fontId="0" fillId="0" borderId="0" xfId="0" applyNumberFormat="1"/>
    <xf numFmtId="171" fontId="0" fillId="2" borderId="0" xfId="0" applyNumberFormat="1" applyFill="1"/>
    <xf numFmtId="167" fontId="0" fillId="2" borderId="0" xfId="0" applyNumberFormat="1" applyFill="1"/>
    <xf numFmtId="167" fontId="0" fillId="7" borderId="0" xfId="0" applyNumberFormat="1" applyFill="1"/>
    <xf numFmtId="169" fontId="14" fillId="3" borderId="7" xfId="2" applyNumberFormat="1" applyFont="1" applyFill="1" applyBorder="1" applyAlignment="1">
      <alignment vertical="center"/>
    </xf>
    <xf numFmtId="170" fontId="14" fillId="3" borderId="7" xfId="2" applyNumberFormat="1" applyFont="1" applyFill="1" applyBorder="1" applyAlignment="1">
      <alignment vertical="center"/>
    </xf>
    <xf numFmtId="170" fontId="14" fillId="3" borderId="8" xfId="2" applyNumberFormat="1" applyFont="1" applyFill="1" applyBorder="1" applyAlignment="1">
      <alignment vertical="center"/>
    </xf>
    <xf numFmtId="0" fontId="15" fillId="0" borderId="0" xfId="0" applyFont="1" applyAlignment="1">
      <alignment horizontal="center" vertical="center"/>
    </xf>
    <xf numFmtId="168" fontId="16" fillId="0" borderId="0" xfId="0" applyNumberFormat="1" applyFont="1" applyAlignment="1">
      <alignment horizontal="right" vertical="center"/>
    </xf>
    <xf numFmtId="169" fontId="14" fillId="0" borderId="0" xfId="2" applyNumberFormat="1" applyFont="1" applyFill="1" applyBorder="1" applyAlignment="1">
      <alignment vertical="center"/>
    </xf>
    <xf numFmtId="170" fontId="14" fillId="0" borderId="0" xfId="2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/>
    </xf>
    <xf numFmtId="167" fontId="3" fillId="2" borderId="0" xfId="0" applyNumberFormat="1" applyFont="1" applyFill="1"/>
    <xf numFmtId="164" fontId="0" fillId="0" borderId="0" xfId="0" applyNumberFormat="1"/>
    <xf numFmtId="166" fontId="17" fillId="2" borderId="0" xfId="0" applyNumberFormat="1" applyFont="1" applyFill="1" applyAlignment="1">
      <alignment horizontal="center"/>
    </xf>
    <xf numFmtId="167" fontId="5" fillId="7" borderId="0" xfId="0" applyNumberFormat="1" applyFont="1" applyFill="1"/>
    <xf numFmtId="0" fontId="5" fillId="0" borderId="0" xfId="0" applyFont="1"/>
    <xf numFmtId="167" fontId="5" fillId="6" borderId="0" xfId="0" applyNumberFormat="1" applyFont="1" applyFill="1"/>
    <xf numFmtId="167" fontId="4" fillId="7" borderId="0" xfId="0" applyNumberFormat="1" applyFont="1" applyFill="1"/>
    <xf numFmtId="0" fontId="5" fillId="7" borderId="0" xfId="0" applyFont="1" applyFill="1"/>
    <xf numFmtId="0" fontId="3" fillId="7" borderId="0" xfId="0" applyFont="1" applyFill="1"/>
    <xf numFmtId="0" fontId="18" fillId="7" borderId="0" xfId="0" applyFont="1" applyFill="1"/>
    <xf numFmtId="166" fontId="5" fillId="7" borderId="0" xfId="0" applyNumberFormat="1" applyFont="1" applyFill="1"/>
    <xf numFmtId="166" fontId="17" fillId="7" borderId="0" xfId="0" applyNumberFormat="1" applyFont="1" applyFill="1" applyAlignment="1">
      <alignment horizontal="center"/>
    </xf>
    <xf numFmtId="166" fontId="3" fillId="7" borderId="0" xfId="0" applyNumberFormat="1" applyFont="1" applyFill="1"/>
    <xf numFmtId="171" fontId="5" fillId="7" borderId="0" xfId="0" applyNumberFormat="1" applyFont="1" applyFill="1"/>
    <xf numFmtId="0" fontId="5" fillId="6" borderId="0" xfId="0" applyFont="1" applyFill="1"/>
    <xf numFmtId="0" fontId="3" fillId="6" borderId="0" xfId="0" applyFont="1" applyFill="1"/>
    <xf numFmtId="0" fontId="17" fillId="6" borderId="0" xfId="0" applyFont="1" applyFill="1" applyAlignment="1">
      <alignment horizontal="center"/>
    </xf>
    <xf numFmtId="167" fontId="3" fillId="6" borderId="0" xfId="2" applyNumberFormat="1" applyFont="1" applyFill="1"/>
    <xf numFmtId="171" fontId="5" fillId="6" borderId="0" xfId="0" applyNumberFormat="1" applyFont="1" applyFill="1"/>
    <xf numFmtId="0" fontId="5" fillId="8" borderId="0" xfId="0" applyFont="1" applyFill="1"/>
    <xf numFmtId="0" fontId="3" fillId="8" borderId="0" xfId="0" applyFont="1" applyFill="1"/>
    <xf numFmtId="166" fontId="17" fillId="8" borderId="0" xfId="0" applyNumberFormat="1" applyFont="1" applyFill="1" applyAlignment="1">
      <alignment horizontal="center"/>
    </xf>
    <xf numFmtId="167" fontId="3" fillId="8" borderId="0" xfId="0" applyNumberFormat="1" applyFont="1" applyFill="1"/>
    <xf numFmtId="167" fontId="5" fillId="8" borderId="0" xfId="0" applyNumberFormat="1" applyFont="1" applyFill="1"/>
    <xf numFmtId="0" fontId="0" fillId="6" borderId="0" xfId="0" applyFill="1"/>
    <xf numFmtId="0" fontId="11" fillId="6" borderId="0" xfId="0" applyFont="1" applyFill="1" applyAlignment="1">
      <alignment horizontal="center"/>
    </xf>
    <xf numFmtId="167" fontId="2" fillId="6" borderId="0" xfId="0" applyNumberFormat="1" applyFont="1" applyFill="1"/>
    <xf numFmtId="171" fontId="0" fillId="6" borderId="0" xfId="0" applyNumberFormat="1" applyFill="1"/>
    <xf numFmtId="0" fontId="19" fillId="6" borderId="0" xfId="0" applyFont="1" applyFill="1"/>
    <xf numFmtId="0" fontId="20" fillId="6" borderId="0" xfId="0" applyFont="1" applyFill="1" applyAlignment="1">
      <alignment horizontal="center"/>
    </xf>
    <xf numFmtId="167" fontId="20" fillId="6" borderId="0" xfId="0" applyNumberFormat="1" applyFont="1" applyFill="1"/>
    <xf numFmtId="171" fontId="19" fillId="6" borderId="0" xfId="0" applyNumberFormat="1" applyFont="1" applyFill="1"/>
    <xf numFmtId="166" fontId="17" fillId="6" borderId="0" xfId="0" applyNumberFormat="1" applyFont="1" applyFill="1" applyAlignment="1">
      <alignment horizontal="center"/>
    </xf>
    <xf numFmtId="167" fontId="3" fillId="6" borderId="0" xfId="0" applyNumberFormat="1" applyFont="1" applyFill="1"/>
    <xf numFmtId="166" fontId="11" fillId="6" borderId="0" xfId="0" applyNumberFormat="1" applyFont="1" applyFill="1" applyAlignment="1">
      <alignment horizontal="center"/>
    </xf>
    <xf numFmtId="166" fontId="2" fillId="6" borderId="0" xfId="0" applyNumberFormat="1" applyFont="1" applyFill="1"/>
    <xf numFmtId="43" fontId="0" fillId="6" borderId="0" xfId="0" applyNumberFormat="1" applyFill="1"/>
    <xf numFmtId="0" fontId="0" fillId="4" borderId="0" xfId="0" applyFill="1"/>
    <xf numFmtId="0" fontId="4" fillId="4" borderId="0" xfId="0" applyFont="1" applyFill="1" applyAlignment="1">
      <alignment horizontal="center"/>
    </xf>
    <xf numFmtId="171" fontId="5" fillId="4" borderId="0" xfId="1" applyNumberFormat="1" applyFont="1" applyFill="1"/>
    <xf numFmtId="0" fontId="5" fillId="4" borderId="0" xfId="0" applyFont="1" applyFill="1"/>
    <xf numFmtId="171" fontId="1" fillId="4" borderId="0" xfId="1" applyNumberFormat="1" applyFont="1" applyFill="1"/>
    <xf numFmtId="0" fontId="11" fillId="4" borderId="0" xfId="0" applyFont="1" applyFill="1" applyAlignment="1">
      <alignment horizontal="center"/>
    </xf>
    <xf numFmtId="171" fontId="2" fillId="4" borderId="0" xfId="1" applyNumberFormat="1" applyFont="1" applyFill="1"/>
    <xf numFmtId="171" fontId="0" fillId="4" borderId="0" xfId="0" applyNumberFormat="1" applyFill="1"/>
    <xf numFmtId="0" fontId="0" fillId="7" borderId="0" xfId="0" applyFill="1"/>
    <xf numFmtId="166" fontId="11" fillId="7" borderId="0" xfId="0" applyNumberFormat="1" applyFont="1" applyFill="1" applyAlignment="1">
      <alignment horizontal="center"/>
    </xf>
    <xf numFmtId="167" fontId="2" fillId="7" borderId="0" xfId="0" applyNumberFormat="1" applyFont="1" applyFill="1"/>
    <xf numFmtId="10" fontId="2" fillId="7" borderId="0" xfId="3" applyNumberFormat="1" applyFont="1" applyFill="1"/>
    <xf numFmtId="0" fontId="4" fillId="7" borderId="0" xfId="0" applyFont="1" applyFill="1"/>
    <xf numFmtId="166" fontId="11" fillId="7" borderId="0" xfId="1" applyNumberFormat="1" applyFont="1" applyFill="1" applyAlignment="1">
      <alignment horizontal="center"/>
    </xf>
    <xf numFmtId="167" fontId="2" fillId="7" borderId="0" xfId="1" applyNumberFormat="1" applyFont="1" applyFill="1"/>
    <xf numFmtId="167" fontId="3" fillId="7" borderId="0" xfId="0" applyNumberFormat="1" applyFont="1" applyFill="1"/>
    <xf numFmtId="0" fontId="2" fillId="7" borderId="0" xfId="0" applyFont="1" applyFill="1"/>
    <xf numFmtId="9" fontId="2" fillId="7" borderId="0" xfId="3" applyFont="1" applyFill="1" applyBorder="1"/>
    <xf numFmtId="166" fontId="2" fillId="7" borderId="0" xfId="3" applyNumberFormat="1" applyFont="1" applyFill="1" applyBorder="1" applyAlignment="1">
      <alignment horizontal="right"/>
    </xf>
    <xf numFmtId="167" fontId="11" fillId="7" borderId="0" xfId="0" applyNumberFormat="1" applyFont="1" applyFill="1"/>
    <xf numFmtId="0" fontId="11" fillId="7" borderId="0" xfId="0" applyFont="1" applyFill="1"/>
    <xf numFmtId="166" fontId="2" fillId="7" borderId="0" xfId="0" applyNumberFormat="1" applyFont="1" applyFill="1"/>
    <xf numFmtId="0" fontId="0" fillId="9" borderId="0" xfId="0" applyFill="1"/>
    <xf numFmtId="0" fontId="2" fillId="9" borderId="0" xfId="0" applyFont="1" applyFill="1"/>
    <xf numFmtId="166" fontId="11" fillId="9" borderId="0" xfId="0" applyNumberFormat="1" applyFont="1" applyFill="1" applyAlignment="1">
      <alignment horizontal="center"/>
    </xf>
    <xf numFmtId="9" fontId="2" fillId="9" borderId="0" xfId="3" applyFont="1" applyFill="1"/>
    <xf numFmtId="167" fontId="0" fillId="9" borderId="0" xfId="0" applyNumberFormat="1" applyFill="1"/>
    <xf numFmtId="0" fontId="4" fillId="9" borderId="0" xfId="0" applyFont="1" applyFill="1" applyAlignment="1">
      <alignment horizontal="center"/>
    </xf>
    <xf numFmtId="171" fontId="2" fillId="9" borderId="0" xfId="1" applyNumberFormat="1" applyFont="1" applyFill="1"/>
    <xf numFmtId="167" fontId="11" fillId="9" borderId="0" xfId="0" applyNumberFormat="1" applyFont="1" applyFill="1"/>
    <xf numFmtId="167" fontId="2" fillId="9" borderId="0" xfId="0" applyNumberFormat="1" applyFont="1" applyFill="1"/>
    <xf numFmtId="166" fontId="11" fillId="9" borderId="0" xfId="0" applyNumberFormat="1" applyFont="1" applyFill="1"/>
    <xf numFmtId="167" fontId="4" fillId="9" borderId="0" xfId="0" applyNumberFormat="1" applyFont="1" applyFill="1"/>
    <xf numFmtId="167" fontId="22" fillId="9" borderId="0" xfId="0" applyNumberFormat="1" applyFont="1" applyFill="1"/>
    <xf numFmtId="167" fontId="20" fillId="9" borderId="0" xfId="0" applyNumberFormat="1" applyFont="1" applyFill="1"/>
    <xf numFmtId="167" fontId="5" fillId="9" borderId="0" xfId="0" applyNumberFormat="1" applyFont="1" applyFill="1"/>
    <xf numFmtId="0" fontId="4" fillId="9" borderId="0" xfId="0" applyFont="1" applyFill="1"/>
    <xf numFmtId="166" fontId="2" fillId="9" borderId="0" xfId="0" applyNumberFormat="1" applyFont="1" applyFill="1"/>
    <xf numFmtId="171" fontId="4" fillId="4" borderId="0" xfId="1" applyNumberFormat="1" applyFont="1" applyFill="1"/>
    <xf numFmtId="0" fontId="5" fillId="9" borderId="0" xfId="0" applyFont="1" applyFill="1"/>
    <xf numFmtId="9" fontId="2" fillId="10" borderId="0" xfId="3" applyFont="1" applyFill="1"/>
    <xf numFmtId="0" fontId="0" fillId="10" borderId="0" xfId="0" applyFill="1"/>
    <xf numFmtId="167" fontId="11" fillId="10" borderId="0" xfId="0" applyNumberFormat="1" applyFont="1" applyFill="1"/>
    <xf numFmtId="167" fontId="20" fillId="10" borderId="0" xfId="0" applyNumberFormat="1" applyFont="1" applyFill="1"/>
    <xf numFmtId="167" fontId="3" fillId="10" borderId="0" xfId="0" applyNumberFormat="1" applyFont="1" applyFill="1"/>
    <xf numFmtId="167" fontId="22" fillId="10" borderId="0" xfId="0" applyNumberFormat="1" applyFont="1" applyFill="1"/>
    <xf numFmtId="0" fontId="3" fillId="7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9" fontId="3" fillId="7" borderId="0" xfId="0" applyNumberFormat="1" applyFont="1" applyFill="1"/>
    <xf numFmtId="9" fontId="2" fillId="7" borderId="0" xfId="0" applyNumberFormat="1" applyFont="1" applyFill="1"/>
    <xf numFmtId="0" fontId="5" fillId="0" borderId="0" xfId="0" applyFont="1" applyAlignment="1">
      <alignment horizontal="left"/>
    </xf>
    <xf numFmtId="0" fontId="3" fillId="4" borderId="0" xfId="0" applyFont="1" applyFill="1"/>
    <xf numFmtId="0" fontId="2" fillId="4" borderId="0" xfId="0" applyFont="1" applyFill="1"/>
    <xf numFmtId="0" fontId="2" fillId="6" borderId="0" xfId="0" applyFont="1" applyFill="1"/>
    <xf numFmtId="0" fontId="3" fillId="11" borderId="0" xfId="0" applyFont="1" applyFill="1"/>
    <xf numFmtId="0" fontId="3" fillId="9" borderId="0" xfId="0" applyFont="1" applyFill="1"/>
    <xf numFmtId="0" fontId="21" fillId="6" borderId="0" xfId="0" applyFont="1" applyFill="1"/>
    <xf numFmtId="0" fontId="24" fillId="11" borderId="0" xfId="0" applyFont="1" applyFill="1"/>
    <xf numFmtId="0" fontId="25" fillId="7" borderId="0" xfId="0" applyFont="1" applyFill="1"/>
    <xf numFmtId="167" fontId="25" fillId="7" borderId="0" xfId="0" applyNumberFormat="1" applyFont="1" applyFill="1"/>
    <xf numFmtId="0" fontId="25" fillId="7" borderId="0" xfId="0" applyFont="1" applyFill="1" applyAlignment="1">
      <alignment wrapText="1"/>
    </xf>
    <xf numFmtId="0" fontId="26" fillId="7" borderId="0" xfId="0" applyFont="1" applyFill="1"/>
    <xf numFmtId="167" fontId="26" fillId="7" borderId="0" xfId="0" applyNumberFormat="1" applyFont="1" applyFill="1"/>
    <xf numFmtId="0" fontId="26" fillId="7" borderId="0" xfId="0" applyFont="1" applyFill="1" applyAlignment="1">
      <alignment wrapText="1"/>
    </xf>
    <xf numFmtId="9" fontId="26" fillId="7" borderId="0" xfId="3" applyFont="1" applyFill="1"/>
    <xf numFmtId="9" fontId="25" fillId="7" borderId="0" xfId="0" applyNumberFormat="1" applyFont="1" applyFill="1"/>
    <xf numFmtId="9" fontId="26" fillId="7" borderId="0" xfId="0" applyNumberFormat="1" applyFont="1" applyFill="1"/>
    <xf numFmtId="9" fontId="26" fillId="7" borderId="0" xfId="3" applyFont="1" applyFill="1" applyBorder="1"/>
    <xf numFmtId="166" fontId="26" fillId="7" borderId="0" xfId="3" applyNumberFormat="1" applyFont="1" applyFill="1" applyBorder="1" applyAlignment="1">
      <alignment horizontal="left" vertical="top"/>
    </xf>
    <xf numFmtId="0" fontId="26" fillId="0" borderId="0" xfId="0" applyFont="1"/>
    <xf numFmtId="0" fontId="26" fillId="2" borderId="0" xfId="0" applyFont="1" applyFill="1"/>
    <xf numFmtId="0" fontId="25" fillId="2" borderId="0" xfId="0" applyFont="1" applyFill="1"/>
    <xf numFmtId="0" fontId="26" fillId="4" borderId="0" xfId="0" applyFont="1" applyFill="1"/>
    <xf numFmtId="0" fontId="25" fillId="4" borderId="0" xfId="0" applyFont="1" applyFill="1"/>
    <xf numFmtId="167" fontId="25" fillId="4" borderId="0" xfId="0" applyNumberFormat="1" applyFont="1" applyFill="1"/>
    <xf numFmtId="171" fontId="26" fillId="4" borderId="0" xfId="0" applyNumberFormat="1" applyFont="1" applyFill="1"/>
    <xf numFmtId="171" fontId="26" fillId="2" borderId="0" xfId="0" applyNumberFormat="1" applyFont="1" applyFill="1"/>
    <xf numFmtId="0" fontId="25" fillId="6" borderId="0" xfId="0" applyFont="1" applyFill="1"/>
    <xf numFmtId="0" fontId="27" fillId="6" borderId="0" xfId="0" applyFont="1" applyFill="1"/>
    <xf numFmtId="167" fontId="25" fillId="6" borderId="0" xfId="0" applyNumberFormat="1" applyFont="1" applyFill="1"/>
    <xf numFmtId="0" fontId="26" fillId="6" borderId="0" xfId="0" applyFont="1" applyFill="1"/>
    <xf numFmtId="167" fontId="26" fillId="6" borderId="0" xfId="0" applyNumberFormat="1" applyFont="1" applyFill="1"/>
    <xf numFmtId="0" fontId="28" fillId="6" borderId="0" xfId="0" applyFont="1" applyFill="1"/>
    <xf numFmtId="166" fontId="26" fillId="6" borderId="0" xfId="0" applyNumberFormat="1" applyFont="1" applyFill="1"/>
    <xf numFmtId="167" fontId="26" fillId="2" borderId="0" xfId="0" applyNumberFormat="1" applyFont="1" applyFill="1"/>
    <xf numFmtId="0" fontId="25" fillId="11" borderId="0" xfId="0" applyFont="1" applyFill="1"/>
    <xf numFmtId="0" fontId="25" fillId="8" borderId="0" xfId="0" applyFont="1" applyFill="1"/>
    <xf numFmtId="167" fontId="25" fillId="8" borderId="0" xfId="0" applyNumberFormat="1" applyFont="1" applyFill="1"/>
    <xf numFmtId="0" fontId="25" fillId="0" borderId="0" xfId="0" applyFont="1"/>
    <xf numFmtId="0" fontId="25" fillId="9" borderId="0" xfId="0" applyFont="1" applyFill="1"/>
    <xf numFmtId="0" fontId="26" fillId="9" borderId="0" xfId="0" applyFont="1" applyFill="1"/>
    <xf numFmtId="167" fontId="26" fillId="9" borderId="0" xfId="0" applyNumberFormat="1" applyFont="1" applyFill="1"/>
    <xf numFmtId="9" fontId="26" fillId="9" borderId="0" xfId="0" applyNumberFormat="1" applyFont="1" applyFill="1"/>
    <xf numFmtId="0" fontId="29" fillId="11" borderId="0" xfId="0" applyFont="1" applyFill="1"/>
    <xf numFmtId="166" fontId="2" fillId="7" borderId="0" xfId="0" applyNumberFormat="1" applyFont="1" applyFill="1" applyAlignment="1">
      <alignment horizontal="center"/>
    </xf>
    <xf numFmtId="167" fontId="18" fillId="7" borderId="0" xfId="0" applyNumberFormat="1" applyFont="1" applyFill="1"/>
    <xf numFmtId="0" fontId="25" fillId="11" borderId="0" xfId="0" applyFont="1" applyFill="1" applyAlignment="1">
      <alignment horizontal="left" vertical="top" wrapText="1"/>
    </xf>
    <xf numFmtId="0" fontId="25" fillId="7" borderId="0" xfId="0" applyFont="1" applyFill="1" applyAlignment="1">
      <alignment horizontal="left" wrapText="1"/>
    </xf>
    <xf numFmtId="171" fontId="18" fillId="4" borderId="0" xfId="1" applyNumberFormat="1" applyFont="1" applyFill="1"/>
    <xf numFmtId="171" fontId="2" fillId="4" borderId="9" xfId="1" applyNumberFormat="1" applyFont="1" applyFill="1" applyBorder="1"/>
    <xf numFmtId="166" fontId="11" fillId="7" borderId="10" xfId="0" applyNumberFormat="1" applyFont="1" applyFill="1" applyBorder="1" applyAlignment="1">
      <alignment horizontal="center"/>
    </xf>
    <xf numFmtId="167" fontId="2" fillId="7" borderId="11" xfId="0" applyNumberFormat="1" applyFont="1" applyFill="1" applyBorder="1"/>
    <xf numFmtId="166" fontId="11" fillId="7" borderId="13" xfId="0" applyNumberFormat="1" applyFont="1" applyFill="1" applyBorder="1" applyAlignment="1">
      <alignment horizontal="center"/>
    </xf>
    <xf numFmtId="166" fontId="11" fillId="7" borderId="15" xfId="0" applyNumberFormat="1" applyFont="1" applyFill="1" applyBorder="1" applyAlignment="1">
      <alignment horizontal="center"/>
    </xf>
    <xf numFmtId="167" fontId="11" fillId="7" borderId="16" xfId="0" applyNumberFormat="1" applyFont="1" applyFill="1" applyBorder="1"/>
    <xf numFmtId="167" fontId="2" fillId="7" borderId="16" xfId="0" applyNumberFormat="1" applyFont="1" applyFill="1" applyBorder="1"/>
    <xf numFmtId="0" fontId="11" fillId="6" borderId="10" xfId="0" applyFont="1" applyFill="1" applyBorder="1" applyAlignment="1">
      <alignment horizontal="center"/>
    </xf>
    <xf numFmtId="167" fontId="2" fillId="6" borderId="11" xfId="0" applyNumberFormat="1" applyFont="1" applyFill="1" applyBorder="1"/>
    <xf numFmtId="0" fontId="11" fillId="6" borderId="13" xfId="0" applyFont="1" applyFill="1" applyBorder="1" applyAlignment="1">
      <alignment horizontal="center"/>
    </xf>
    <xf numFmtId="0" fontId="20" fillId="6" borderId="13" xfId="0" applyFont="1" applyFill="1" applyBorder="1" applyAlignment="1">
      <alignment horizontal="center"/>
    </xf>
    <xf numFmtId="166" fontId="17" fillId="6" borderId="15" xfId="0" applyNumberFormat="1" applyFont="1" applyFill="1" applyBorder="1" applyAlignment="1">
      <alignment horizontal="center"/>
    </xf>
    <xf numFmtId="167" fontId="3" fillId="6" borderId="16" xfId="0" applyNumberFormat="1" applyFont="1" applyFill="1" applyBorder="1"/>
    <xf numFmtId="166" fontId="5" fillId="0" borderId="9" xfId="0" applyNumberFormat="1" applyFont="1" applyBorder="1"/>
    <xf numFmtId="0" fontId="0" fillId="11" borderId="0" xfId="0" applyFill="1"/>
    <xf numFmtId="0" fontId="5" fillId="11" borderId="0" xfId="0" applyFont="1" applyFill="1" applyAlignment="1">
      <alignment horizontal="center"/>
    </xf>
    <xf numFmtId="171" fontId="5" fillId="11" borderId="0" xfId="1" applyNumberFormat="1" applyFont="1" applyFill="1"/>
    <xf numFmtId="171" fontId="18" fillId="11" borderId="0" xfId="1" applyNumberFormat="1" applyFont="1" applyFill="1"/>
    <xf numFmtId="171" fontId="3" fillId="11" borderId="0" xfId="1" applyNumberFormat="1" applyFont="1" applyFill="1"/>
    <xf numFmtId="167" fontId="3" fillId="11" borderId="0" xfId="2" applyNumberFormat="1" applyFont="1" applyFill="1"/>
    <xf numFmtId="167" fontId="3" fillId="11" borderId="12" xfId="2" applyNumberFormat="1" applyFont="1" applyFill="1" applyBorder="1"/>
    <xf numFmtId="167" fontId="3" fillId="11" borderId="14" xfId="2" applyNumberFormat="1" applyFont="1" applyFill="1" applyBorder="1"/>
    <xf numFmtId="167" fontId="3" fillId="11" borderId="17" xfId="2" applyNumberFormat="1" applyFont="1" applyFill="1" applyBorder="1"/>
    <xf numFmtId="166" fontId="2" fillId="11" borderId="0" xfId="0" applyNumberFormat="1" applyFont="1" applyFill="1"/>
    <xf numFmtId="166" fontId="3" fillId="11" borderId="0" xfId="0" applyNumberFormat="1" applyFont="1" applyFill="1"/>
    <xf numFmtId="167" fontId="2" fillId="11" borderId="0" xfId="1" applyNumberFormat="1" applyFont="1" applyFill="1"/>
    <xf numFmtId="10" fontId="2" fillId="11" borderId="0" xfId="3" applyNumberFormat="1" applyFont="1" applyFill="1"/>
    <xf numFmtId="166" fontId="3" fillId="11" borderId="12" xfId="0" applyNumberFormat="1" applyFont="1" applyFill="1" applyBorder="1"/>
    <xf numFmtId="166" fontId="3" fillId="11" borderId="17" xfId="0" applyNumberFormat="1" applyFont="1" applyFill="1" applyBorder="1"/>
    <xf numFmtId="166" fontId="3" fillId="11" borderId="14" xfId="0" applyNumberFormat="1" applyFont="1" applyFill="1" applyBorder="1"/>
    <xf numFmtId="167" fontId="2" fillId="11" borderId="0" xfId="0" applyNumberFormat="1" applyFont="1" applyFill="1"/>
    <xf numFmtId="166" fontId="5" fillId="11" borderId="9" xfId="0" applyNumberFormat="1" applyFont="1" applyFill="1" applyBorder="1"/>
    <xf numFmtId="167" fontId="5" fillId="11" borderId="0" xfId="0" applyNumberFormat="1" applyFont="1" applyFill="1"/>
    <xf numFmtId="166" fontId="5" fillId="11" borderId="0" xfId="0" applyNumberFormat="1" applyFont="1" applyFill="1"/>
    <xf numFmtId="167" fontId="3" fillId="11" borderId="0" xfId="0" applyNumberFormat="1" applyFont="1" applyFill="1"/>
    <xf numFmtId="9" fontId="2" fillId="11" borderId="0" xfId="3" applyFont="1" applyFill="1"/>
    <xf numFmtId="167" fontId="20" fillId="11" borderId="0" xfId="0" applyNumberFormat="1" applyFont="1" applyFill="1"/>
    <xf numFmtId="167" fontId="11" fillId="11" borderId="0" xfId="0" applyNumberFormat="1" applyFont="1" applyFill="1"/>
    <xf numFmtId="167" fontId="2" fillId="7" borderId="10" xfId="0" applyNumberFormat="1" applyFont="1" applyFill="1" applyBorder="1"/>
    <xf numFmtId="167" fontId="2" fillId="11" borderId="12" xfId="0" applyNumberFormat="1" applyFont="1" applyFill="1" applyBorder="1"/>
    <xf numFmtId="167" fontId="2" fillId="7" borderId="15" xfId="0" applyNumberFormat="1" applyFont="1" applyFill="1" applyBorder="1"/>
    <xf numFmtId="167" fontId="2" fillId="11" borderId="17" xfId="0" applyNumberFormat="1" applyFont="1" applyFill="1" applyBorder="1"/>
    <xf numFmtId="167" fontId="2" fillId="7" borderId="13" xfId="0" applyNumberFormat="1" applyFont="1" applyFill="1" applyBorder="1"/>
    <xf numFmtId="167" fontId="2" fillId="11" borderId="14" xfId="0" applyNumberFormat="1" applyFont="1" applyFill="1" applyBorder="1"/>
    <xf numFmtId="166" fontId="2" fillId="7" borderId="10" xfId="0" applyNumberFormat="1" applyFont="1" applyFill="1" applyBorder="1"/>
    <xf numFmtId="166" fontId="2" fillId="7" borderId="11" xfId="0" applyNumberFormat="1" applyFont="1" applyFill="1" applyBorder="1"/>
    <xf numFmtId="166" fontId="2" fillId="7" borderId="13" xfId="0" applyNumberFormat="1" applyFont="1" applyFill="1" applyBorder="1"/>
    <xf numFmtId="166" fontId="2" fillId="7" borderId="15" xfId="0" applyNumberFormat="1" applyFont="1" applyFill="1" applyBorder="1"/>
    <xf numFmtId="166" fontId="2" fillId="7" borderId="16" xfId="0" applyNumberFormat="1" applyFont="1" applyFill="1" applyBorder="1"/>
    <xf numFmtId="167" fontId="2" fillId="6" borderId="10" xfId="0" applyNumberFormat="1" applyFont="1" applyFill="1" applyBorder="1"/>
    <xf numFmtId="167" fontId="2" fillId="6" borderId="12" xfId="0" applyNumberFormat="1" applyFont="1" applyFill="1" applyBorder="1"/>
    <xf numFmtId="167" fontId="2" fillId="6" borderId="13" xfId="0" applyNumberFormat="1" applyFont="1" applyFill="1" applyBorder="1"/>
    <xf numFmtId="167" fontId="20" fillId="6" borderId="13" xfId="0" applyNumberFormat="1" applyFont="1" applyFill="1" applyBorder="1"/>
    <xf numFmtId="167" fontId="20" fillId="6" borderId="14" xfId="0" applyNumberFormat="1" applyFont="1" applyFill="1" applyBorder="1"/>
    <xf numFmtId="167" fontId="3" fillId="6" borderId="15" xfId="0" applyNumberFormat="1" applyFont="1" applyFill="1" applyBorder="1"/>
    <xf numFmtId="167" fontId="3" fillId="6" borderId="17" xfId="0" applyNumberFormat="1" applyFont="1" applyFill="1" applyBorder="1"/>
    <xf numFmtId="167" fontId="2" fillId="7" borderId="12" xfId="1" applyNumberFormat="1" applyFont="1" applyFill="1" applyBorder="1"/>
    <xf numFmtId="167" fontId="2" fillId="7" borderId="14" xfId="1" applyNumberFormat="1" applyFont="1" applyFill="1" applyBorder="1"/>
    <xf numFmtId="167" fontId="2" fillId="7" borderId="17" xfId="1" applyNumberFormat="1" applyFont="1" applyFill="1" applyBorder="1"/>
    <xf numFmtId="167" fontId="11" fillId="7" borderId="15" xfId="0" applyNumberFormat="1" applyFont="1" applyFill="1" applyBorder="1"/>
    <xf numFmtId="0" fontId="0" fillId="12" borderId="0" xfId="0" applyFill="1"/>
    <xf numFmtId="0" fontId="3" fillId="12" borderId="0" xfId="0" applyFont="1" applyFill="1"/>
    <xf numFmtId="0" fontId="2" fillId="12" borderId="0" xfId="0" applyFont="1" applyFill="1"/>
    <xf numFmtId="166" fontId="11" fillId="12" borderId="0" xfId="1" applyNumberFormat="1" applyFont="1" applyFill="1" applyAlignment="1">
      <alignment horizontal="center"/>
    </xf>
    <xf numFmtId="167" fontId="2" fillId="12" borderId="0" xfId="1" applyNumberFormat="1" applyFont="1" applyFill="1"/>
    <xf numFmtId="171" fontId="5" fillId="12" borderId="0" xfId="0" applyNumberFormat="1" applyFont="1" applyFill="1"/>
    <xf numFmtId="0" fontId="25" fillId="12" borderId="0" xfId="0" applyFont="1" applyFill="1"/>
    <xf numFmtId="0" fontId="26" fillId="12" borderId="0" xfId="0" applyFont="1" applyFill="1"/>
    <xf numFmtId="167" fontId="26" fillId="12" borderId="0" xfId="0" applyNumberFormat="1" applyFont="1" applyFill="1"/>
    <xf numFmtId="167" fontId="0" fillId="12" borderId="0" xfId="0" applyNumberFormat="1" applyFill="1"/>
    <xf numFmtId="1" fontId="2" fillId="2" borderId="0" xfId="0" applyNumberFormat="1" applyFont="1" applyFill="1"/>
    <xf numFmtId="9" fontId="2" fillId="2" borderId="0" xfId="3" applyFont="1" applyFill="1"/>
    <xf numFmtId="0" fontId="5" fillId="12" borderId="0" xfId="0" applyFont="1" applyFill="1"/>
    <xf numFmtId="166" fontId="17" fillId="12" borderId="0" xfId="0" applyNumberFormat="1" applyFont="1" applyFill="1" applyAlignment="1">
      <alignment horizontal="center"/>
    </xf>
    <xf numFmtId="167" fontId="3" fillId="12" borderId="0" xfId="0" applyNumberFormat="1" applyFont="1" applyFill="1"/>
    <xf numFmtId="167" fontId="2" fillId="12" borderId="0" xfId="0" applyNumberFormat="1" applyFont="1" applyFill="1"/>
    <xf numFmtId="167" fontId="25" fillId="12" borderId="0" xfId="0" applyNumberFormat="1" applyFont="1" applyFill="1"/>
    <xf numFmtId="167" fontId="18" fillId="12" borderId="0" xfId="0" applyNumberFormat="1" applyFont="1" applyFill="1"/>
    <xf numFmtId="166" fontId="11" fillId="12" borderId="0" xfId="0" applyNumberFormat="1" applyFont="1" applyFill="1" applyAlignment="1">
      <alignment horizontal="center"/>
    </xf>
    <xf numFmtId="167" fontId="4" fillId="12" borderId="0" xfId="0" applyNumberFormat="1" applyFont="1" applyFill="1"/>
    <xf numFmtId="167" fontId="17" fillId="9" borderId="0" xfId="0" applyNumberFormat="1" applyFont="1" applyFill="1"/>
    <xf numFmtId="166" fontId="3" fillId="12" borderId="0" xfId="0" applyNumberFormat="1" applyFont="1" applyFill="1"/>
    <xf numFmtId="166" fontId="0" fillId="12" borderId="0" xfId="0" applyNumberFormat="1" applyFill="1"/>
    <xf numFmtId="166" fontId="3" fillId="12" borderId="14" xfId="0" applyNumberFormat="1" applyFont="1" applyFill="1" applyBorder="1"/>
    <xf numFmtId="167" fontId="0" fillId="11" borderId="0" xfId="0" applyNumberFormat="1" applyFill="1"/>
    <xf numFmtId="166" fontId="0" fillId="13" borderId="0" xfId="0" applyNumberFormat="1" applyFill="1"/>
    <xf numFmtId="10" fontId="0" fillId="0" borderId="0" xfId="3" applyNumberFormat="1" applyFont="1"/>
    <xf numFmtId="9" fontId="5" fillId="9" borderId="0" xfId="0" applyNumberFormat="1" applyFont="1" applyFill="1"/>
    <xf numFmtId="166" fontId="2" fillId="7" borderId="18" xfId="0" applyNumberFormat="1" applyFont="1" applyFill="1" applyBorder="1"/>
    <xf numFmtId="0" fontId="2" fillId="11" borderId="0" xfId="0" applyFont="1" applyFill="1"/>
    <xf numFmtId="0" fontId="23" fillId="11" borderId="0" xfId="0" applyFont="1" applyFill="1" applyAlignment="1">
      <alignment horizontal="left" vertical="top" wrapText="1"/>
    </xf>
    <xf numFmtId="0" fontId="2" fillId="11" borderId="0" xfId="0" applyFont="1" applyFill="1" applyAlignment="1">
      <alignment horizontal="left" vertical="top" wrapText="1"/>
    </xf>
    <xf numFmtId="0" fontId="3" fillId="11" borderId="0" xfId="0" applyFont="1" applyFill="1" applyAlignment="1">
      <alignment horizontal="left" vertical="top" wrapText="1"/>
    </xf>
    <xf numFmtId="0" fontId="25" fillId="11" borderId="0" xfId="0" applyFont="1" applyFill="1" applyAlignment="1">
      <alignment horizontal="left" vertical="top" wrapText="1"/>
    </xf>
    <xf numFmtId="0" fontId="26" fillId="11" borderId="0" xfId="0" applyFont="1" applyFill="1" applyAlignment="1">
      <alignment horizontal="left" vertical="top" wrapText="1"/>
    </xf>
    <xf numFmtId="0" fontId="25" fillId="7" borderId="0" xfId="0" applyFont="1" applyFill="1" applyAlignment="1">
      <alignment horizontal="left" wrapText="1"/>
    </xf>
  </cellXfs>
  <cellStyles count="5">
    <cellStyle name="Comma" xfId="1" builtinId="3"/>
    <cellStyle name="Currency" xfId="2" builtinId="4"/>
    <cellStyle name="Good" xfId="4" builtinId="26"/>
    <cellStyle name="Normal" xfId="0" builtinId="0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 regular"/>
                <a:ea typeface="+mn-ea"/>
                <a:cs typeface="+mn-cs"/>
              </a:defRPr>
            </a:pPr>
            <a:r>
              <a:rPr lang="en-GB" b="0"/>
              <a:t>Annual KCM perfomanace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Lato regular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Graphs!$A$5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559116287977372E-2"/>
                  <c:y val="-0.168157423971377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204-4611-B3F1-1A497EFC0589}"/>
                </c:ext>
              </c:extLst>
            </c:dLbl>
            <c:dLbl>
              <c:idx val="1"/>
              <c:layout>
                <c:manualLayout>
                  <c:x val="-1.559116287977372E-2"/>
                  <c:y val="-0.132379248658318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04-4611-B3F1-1A497EFC0589}"/>
                </c:ext>
              </c:extLst>
            </c:dLbl>
            <c:dLbl>
              <c:idx val="2"/>
              <c:layout>
                <c:manualLayout>
                  <c:x val="-1.9055865741945656E-2"/>
                  <c:y val="-0.10375670840787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204-4611-B3F1-1A497EFC0589}"/>
                </c:ext>
              </c:extLst>
            </c:dLbl>
            <c:dLbl>
              <c:idx val="3"/>
              <c:layout>
                <c:manualLayout>
                  <c:x val="-8.6617571554299718E-3"/>
                  <c:y val="-8.94454382826476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204-4611-B3F1-1A497EFC0589}"/>
                </c:ext>
              </c:extLst>
            </c:dLbl>
            <c:dLbl>
              <c:idx val="4"/>
              <c:layout>
                <c:manualLayout>
                  <c:x val="-3.8111731483891444E-2"/>
                  <c:y val="-0.121645796064400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204-4611-B3F1-1A497EFC05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 regular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Graphs!$B$3:$F$4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Yr5</c:v>
                </c:pt>
              </c:strCache>
            </c:strRef>
          </c:cat>
          <c:val>
            <c:numRef>
              <c:f>Graphs!$B$5:$F$5</c:f>
              <c:numCache>
                <c:formatCode>_-[$R-1C09]* #,##0_-;\-[$R-1C09]* #,##0_-;_-[$R-1C09]* "-"??_-;_-@_-</c:formatCode>
                <c:ptCount val="5"/>
                <c:pt idx="0">
                  <c:v>90298017.641687661</c:v>
                </c:pt>
                <c:pt idx="1">
                  <c:v>200399094.356399</c:v>
                </c:pt>
                <c:pt idx="2">
                  <c:v>259893321.82171115</c:v>
                </c:pt>
                <c:pt idx="3">
                  <c:v>292041627.79028809</c:v>
                </c:pt>
                <c:pt idx="4">
                  <c:v>309413289.22167361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4-4611-B3F1-1A497EFC0589}"/>
            </c:ext>
          </c:extLst>
        </c:ser>
        <c:ser>
          <c:idx val="1"/>
          <c:order val="1"/>
          <c:tx>
            <c:strRef>
              <c:f>Graphs!$A$6</c:f>
              <c:strCache>
                <c:ptCount val="1"/>
                <c:pt idx="0">
                  <c:v>COS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6.2382613105624936E-2"/>
                  <c:y val="-0.154809442016292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204-4611-B3F1-1A497EFC0589}"/>
                </c:ext>
              </c:extLst>
            </c:dLbl>
            <c:dLbl>
              <c:idx val="1"/>
              <c:layout>
                <c:manualLayout>
                  <c:x val="8.6617571554298434E-3"/>
                  <c:y val="-8.2289803220035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204-4611-B3F1-1A497EFC0589}"/>
                </c:ext>
              </c:extLst>
            </c:dLbl>
            <c:dLbl>
              <c:idx val="2"/>
              <c:layout>
                <c:manualLayout>
                  <c:x val="-2.4252920035203625E-2"/>
                  <c:y val="-7.87119856887299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204-4611-B3F1-1A497EFC0589}"/>
                </c:ext>
              </c:extLst>
            </c:dLbl>
            <c:dLbl>
              <c:idx val="3"/>
              <c:layout>
                <c:manualLayout>
                  <c:x val="-2.944997432846147E-2"/>
                  <c:y val="-7.51341681574240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204-4611-B3F1-1A497EFC0589}"/>
                </c:ext>
              </c:extLst>
            </c:dLbl>
            <c:dLbl>
              <c:idx val="4"/>
              <c:layout>
                <c:manualLayout>
                  <c:x val="-3.9844082914977409E-2"/>
                  <c:y val="-6.08228980322003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204-4611-B3F1-1A497EFC05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 regular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Graphs!$B$3:$F$4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Yr5</c:v>
                </c:pt>
              </c:strCache>
            </c:strRef>
          </c:cat>
          <c:val>
            <c:numRef>
              <c:f>Graphs!$B$6:$F$6</c:f>
              <c:numCache>
                <c:formatCode>_-[$R-1C09]* #,##0_-;\-[$R-1C09]* #,##0_-;_-[$R-1C09]* "-"??_-;_-@_-</c:formatCode>
                <c:ptCount val="5"/>
                <c:pt idx="0">
                  <c:v>60860330.286679283</c:v>
                </c:pt>
                <c:pt idx="1">
                  <c:v>130957343.00937912</c:v>
                </c:pt>
                <c:pt idx="2">
                  <c:v>168904603.27705786</c:v>
                </c:pt>
                <c:pt idx="3">
                  <c:v>189469376.35497561</c:v>
                </c:pt>
                <c:pt idx="4">
                  <c:v>200589517.46303028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04-4611-B3F1-1A497EFC0589}"/>
            </c:ext>
          </c:extLst>
        </c:ser>
        <c:ser>
          <c:idx val="2"/>
          <c:order val="2"/>
          <c:tx>
            <c:strRef>
              <c:f>Graphs!$A$7</c:f>
              <c:strCache>
                <c:ptCount val="1"/>
                <c:pt idx="0">
                  <c:v>Operating costs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Graphs!$B$3:$F$4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Yr5</c:v>
                </c:pt>
              </c:strCache>
            </c:strRef>
          </c:cat>
          <c:val>
            <c:numRef>
              <c:f>Graphs!$B$7:$F$7</c:f>
              <c:numCache>
                <c:formatCode>_-[$R-1C09]* #,##0_-;\-[$R-1C09]* #,##0_-;_-[$R-1C09]* "-"??_-;_-@_-</c:formatCode>
                <c:ptCount val="5"/>
                <c:pt idx="0">
                  <c:v>23575109.463803209</c:v>
                </c:pt>
                <c:pt idx="1">
                  <c:v>30841170.712431788</c:v>
                </c:pt>
                <c:pt idx="2">
                  <c:v>36927778.244495124</c:v>
                </c:pt>
                <c:pt idx="3">
                  <c:v>38226756.222901307</c:v>
                </c:pt>
                <c:pt idx="4">
                  <c:v>40817431.61766056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04-4611-B3F1-1A497EFC0589}"/>
            </c:ext>
          </c:extLst>
        </c:ser>
        <c:ser>
          <c:idx val="3"/>
          <c:order val="3"/>
          <c:tx>
            <c:strRef>
              <c:f>Graphs!$A$8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4097002950180851E-2"/>
                  <c:y val="-6.08228980322003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204-4611-B3F1-1A497EFC0589}"/>
                </c:ext>
              </c:extLst>
            </c:dLbl>
            <c:dLbl>
              <c:idx val="1"/>
              <c:layout>
                <c:manualLayout>
                  <c:x val="1.2126460017601782E-2"/>
                  <c:y val="-5.72450805008944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204-4611-B3F1-1A497EFC0589}"/>
                </c:ext>
              </c:extLst>
            </c:dLbl>
            <c:dLbl>
              <c:idx val="2"/>
              <c:layout>
                <c:manualLayout>
                  <c:x val="-3.8111731483891312E-2"/>
                  <c:y val="-6.79785330948122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204-4611-B3F1-1A497EFC0589}"/>
                </c:ext>
              </c:extLst>
            </c:dLbl>
            <c:dLbl>
              <c:idx val="3"/>
              <c:layout>
                <c:manualLayout>
                  <c:x val="-2.2520568604117594E-2"/>
                  <c:y val="-5.36672629695885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204-4611-B3F1-1A497EFC0589}"/>
                </c:ext>
              </c:extLst>
            </c:dLbl>
            <c:dLbl>
              <c:idx val="4"/>
              <c:layout>
                <c:manualLayout>
                  <c:x val="-3.8111731483891444E-2"/>
                  <c:y val="-8.58676207513416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204-4611-B3F1-1A497EFC05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 regular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Graphs!$B$3:$F$4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Yr5</c:v>
                </c:pt>
              </c:strCache>
            </c:strRef>
          </c:cat>
          <c:val>
            <c:numRef>
              <c:f>Graphs!$B$8:$F$8</c:f>
              <c:numCache>
                <c:formatCode>_-[$R-1C09]* #,##0_-;\-[$R-1C09]* #,##0_-;_-[$R-1C09]* "-"??_-;_-@_-</c:formatCode>
                <c:ptCount val="5"/>
                <c:pt idx="0">
                  <c:v>5862577.8912051748</c:v>
                </c:pt>
                <c:pt idx="1">
                  <c:v>38600580.634588107</c:v>
                </c:pt>
                <c:pt idx="2">
                  <c:v>54060940.300158218</c:v>
                </c:pt>
                <c:pt idx="3">
                  <c:v>64345495.212411143</c:v>
                </c:pt>
                <c:pt idx="4">
                  <c:v>68006340.140982762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04-4611-B3F1-1A497EFC0589}"/>
            </c:ext>
          </c:extLst>
        </c:ser>
        <c:ser>
          <c:idx val="4"/>
          <c:order val="4"/>
          <c:tx>
            <c:strRef>
              <c:f>Graphs!$A$9</c:f>
              <c:strCache>
                <c:ptCount val="1"/>
                <c:pt idx="0">
                  <c:v>KCMShare @ 50%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3.2914677190633408E-2"/>
                  <c:y val="2.86225402504472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204-4611-B3F1-1A497EFC0589}"/>
                </c:ext>
              </c:extLst>
            </c:dLbl>
            <c:dLbl>
              <c:idx val="1"/>
              <c:layout>
                <c:manualLayout>
                  <c:x val="2.0788217173031562E-2"/>
                  <c:y val="1.7889087656529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204-4611-B3F1-1A497EFC0589}"/>
                </c:ext>
              </c:extLst>
            </c:dLbl>
            <c:dLbl>
              <c:idx val="2"/>
              <c:layout>
                <c:manualLayout>
                  <c:x val="-8.6617571554298434E-3"/>
                  <c:y val="4.29338103756708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204-4611-B3F1-1A497EFC0589}"/>
                </c:ext>
              </c:extLst>
            </c:dLbl>
            <c:dLbl>
              <c:idx val="3"/>
              <c:layout>
                <c:manualLayout>
                  <c:x val="-1.2126460017601782E-2"/>
                  <c:y val="4.65116279069767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204-4611-B3F1-1A497EFC0589}"/>
                </c:ext>
              </c:extLst>
            </c:dLbl>
            <c:dLbl>
              <c:idx val="4"/>
              <c:layout>
                <c:manualLayout>
                  <c:x val="-4.504113720823532E-2"/>
                  <c:y val="3.93559928443649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204-4611-B3F1-1A497EFC05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 regular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Graphs!$B$3:$F$4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Yr5</c:v>
                </c:pt>
              </c:strCache>
            </c:strRef>
          </c:cat>
          <c:val>
            <c:numRef>
              <c:f>Graphs!$B$9:$F$9</c:f>
              <c:numCache>
                <c:formatCode>_-[$R-1C09]* #,##0_-;\-[$R-1C09]* #,##0_-;_-[$R-1C09]* "-"??_-;_-@_-</c:formatCode>
                <c:ptCount val="5"/>
                <c:pt idx="0">
                  <c:v>2931288.9456025874</c:v>
                </c:pt>
                <c:pt idx="1">
                  <c:v>22587925.482511446</c:v>
                </c:pt>
                <c:pt idx="2">
                  <c:v>30552572.135296501</c:v>
                </c:pt>
                <c:pt idx="3">
                  <c:v>34609485.722422965</c:v>
                </c:pt>
                <c:pt idx="4">
                  <c:v>36548915.50915876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04-4611-B3F1-1A497EFC0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159199"/>
        <c:axId val="1966155839"/>
      </c:lineChart>
      <c:catAx>
        <c:axId val="196615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 regular"/>
                <a:ea typeface="+mn-ea"/>
                <a:cs typeface="+mn-cs"/>
              </a:defRPr>
            </a:pPr>
            <a:endParaRPr lang="en-US"/>
          </a:p>
        </c:txPr>
        <c:crossAx val="1966155839"/>
        <c:crosses val="autoZero"/>
        <c:auto val="1"/>
        <c:lblAlgn val="ctr"/>
        <c:lblOffset val="100"/>
        <c:noMultiLvlLbl val="0"/>
      </c:catAx>
      <c:valAx>
        <c:axId val="196615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_-;\-[$R-1C09]* #,##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 regular"/>
                <a:ea typeface="+mn-ea"/>
                <a:cs typeface="+mn-cs"/>
              </a:defRPr>
            </a:pPr>
            <a:endParaRPr lang="en-US"/>
          </a:p>
        </c:txPr>
        <c:crossAx val="196615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Lato regular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Lato regular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Lato regular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Calculations!$E$71</c:f>
              <c:strCache>
                <c:ptCount val="1"/>
                <c:pt idx="0">
                  <c:v>Loan account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5.8333333333333383E-2"/>
                  <c:y val="-8.3333333333333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2C-4278-8FE5-62CF1D258F2D}"/>
                </c:ext>
              </c:extLst>
            </c:dLbl>
            <c:dLbl>
              <c:idx val="2"/>
              <c:layout>
                <c:manualLayout>
                  <c:x val="-5.0000000000000051E-2"/>
                  <c:y val="-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2C-4278-8FE5-62CF1D258F2D}"/>
                </c:ext>
              </c:extLst>
            </c:dLbl>
            <c:dLbl>
              <c:idx val="3"/>
              <c:layout>
                <c:manualLayout>
                  <c:x val="-7.7777777777777876E-2"/>
                  <c:y val="-9.722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2C-4278-8FE5-62CF1D258F2D}"/>
                </c:ext>
              </c:extLst>
            </c:dLbl>
            <c:dLbl>
              <c:idx val="4"/>
              <c:layout>
                <c:manualLayout>
                  <c:x val="-0.17222222222222222"/>
                  <c:y val="-7.4074074074074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00B050"/>
                      </a:solidFill>
                      <a:latin typeface="Lato regular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0E6-4F1D-A478-1108F61A6C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Lato regular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Calculations!$G$4:$K$4</c15:sqref>
                  </c15:fullRef>
                </c:ext>
              </c:extLst>
              <c:f>Calculations!$G$4:$K$4</c:f>
              <c:strCache>
                <c:ptCount val="5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Calculations!$F$71:$K$71</c15:sqref>
                  </c15:fullRef>
                </c:ext>
              </c:extLst>
              <c:f>Calculations!$F$71:$J$71</c:f>
              <c:numCache>
                <c:formatCode>_-[$R-1C09]* #,##0_-;\-[$R-1C09]* #,##0_-;_-[$R-1C09]* "-"??_-;_-@_-</c:formatCode>
                <c:ptCount val="5"/>
                <c:pt idx="1">
                  <c:v>-1422781.38928</c:v>
                </c:pt>
                <c:pt idx="2">
                  <c:v>-1985018.0455496979</c:v>
                </c:pt>
                <c:pt idx="3">
                  <c:v>-2272487.205294596</c:v>
                </c:pt>
                <c:pt idx="4">
                  <c:v>-2275177.2433409346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Calculations!$K$71</c15:sqref>
                  <c15:dLbl>
                    <c:idx val="4"/>
                    <c:layout>
                      <c:manualLayout>
                        <c:x val="-0.15555555555555556"/>
                        <c:y val="2.7777777777777735E-2"/>
                      </c:manualLayout>
                    </c:layout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1" i="0" u="none" strike="noStrike" kern="1200" baseline="0">
                            <a:solidFill>
                              <a:srgbClr val="00B050"/>
                            </a:solidFill>
                            <a:latin typeface="Lato regular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0966-4A7F-8768-E699697BEA02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0A2C-4278-8FE5-62CF1D258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34256"/>
        <c:axId val="132930896"/>
      </c:lineChart>
      <c:catAx>
        <c:axId val="13293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 regular"/>
                <a:ea typeface="+mn-ea"/>
                <a:cs typeface="+mn-cs"/>
              </a:defRPr>
            </a:pPr>
            <a:endParaRPr lang="en-US"/>
          </a:p>
        </c:txPr>
        <c:crossAx val="132930896"/>
        <c:crosses val="autoZero"/>
        <c:auto val="1"/>
        <c:lblAlgn val="ctr"/>
        <c:lblOffset val="100"/>
        <c:noMultiLvlLbl val="0"/>
      </c:catAx>
      <c:valAx>
        <c:axId val="13293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 regular"/>
                <a:ea typeface="+mn-ea"/>
                <a:cs typeface="+mn-cs"/>
              </a:defRPr>
            </a:pPr>
            <a:endParaRPr lang="en-US"/>
          </a:p>
        </c:txPr>
        <c:crossAx val="13293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Lato regular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KCM Subscriber numbers net of 5% monthly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00393700787402"/>
          <c:y val="0.19486111111111112"/>
          <c:w val="0.8476102362204724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Calculations!$D$10</c:f>
              <c:strCache>
                <c:ptCount val="1"/>
                <c:pt idx="0">
                  <c:v>Subscriber numbers net of 5% monthly churn churn (5% Churn is the MVNO Avg)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12"/>
              <c:layout>
                <c:manualLayout>
                  <c:x val="-6.1111111111111109E-2"/>
                  <c:y val="-0.1111111111111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5E-4B9A-8B2F-2B38D3801A7F}"/>
                </c:ext>
              </c:extLst>
            </c:dLbl>
            <c:dLbl>
              <c:idx val="24"/>
              <c:layout>
                <c:manualLayout>
                  <c:x val="-7.2222222222222271E-2"/>
                  <c:y val="-0.120370370370370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5E-4B9A-8B2F-2B38D3801A7F}"/>
                </c:ext>
              </c:extLst>
            </c:dLbl>
            <c:dLbl>
              <c:idx val="36"/>
              <c:layout>
                <c:manualLayout>
                  <c:x val="-6.9444444444444448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8E-4828-A297-61238CCF5D6D}"/>
                </c:ext>
              </c:extLst>
            </c:dLbl>
            <c:dLbl>
              <c:idx val="47"/>
              <c:layout>
                <c:manualLayout>
                  <c:x val="-6.6666666666666666E-2"/>
                  <c:y val="-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8E-4828-A297-61238CCF5D6D}"/>
                </c:ext>
              </c:extLst>
            </c:dLbl>
            <c:dLbl>
              <c:idx val="61"/>
              <c:layout>
                <c:manualLayout>
                  <c:x val="-2.0370135052831988E-16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8E-4828-A297-61238CCF5D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Calculations!$E$10:$BP$10</c:f>
              <c:numCache>
                <c:formatCode>General</c:formatCode>
                <c:ptCount val="64"/>
                <c:pt idx="2" formatCode="_-* #,##0_-;\-* #,##0_-;_-* &quot;-&quot;??_-;_-@_-">
                  <c:v>16000</c:v>
                </c:pt>
                <c:pt idx="3" formatCode="_-* #,##0_-;\-* #,##0_-;_-* &quot;-&quot;??_-;_-@_-">
                  <c:v>31200</c:v>
                </c:pt>
                <c:pt idx="4" formatCode="_-* #,##0_-;\-* #,##0_-;_-* &quot;-&quot;??_-;_-@_-">
                  <c:v>45640</c:v>
                </c:pt>
                <c:pt idx="5" formatCode="_-* #,##0_-;\-* #,##0_-;_-* &quot;-&quot;??_-;_-@_-">
                  <c:v>59358</c:v>
                </c:pt>
                <c:pt idx="6" formatCode="_-* #,##0_-;\-* #,##0_-;_-* &quot;-&quot;??_-;_-@_-">
                  <c:v>72390.100000000006</c:v>
                </c:pt>
                <c:pt idx="7" formatCode="_-* #,##0_-;\-* #,##0_-;_-* &quot;-&quot;??_-;_-@_-">
                  <c:v>84770.595000000001</c:v>
                </c:pt>
                <c:pt idx="8" formatCode="_-* #,##0_-;\-* #,##0_-;_-* &quot;-&quot;??_-;_-@_-">
                  <c:v>96532.06525</c:v>
                </c:pt>
                <c:pt idx="9" formatCode="_-* #,##0_-;\-* #,##0_-;_-* &quot;-&quot;??_-;_-@_-">
                  <c:v>107705.46198750001</c:v>
                </c:pt>
                <c:pt idx="10" formatCode="_-* #,##0_-;\-* #,##0_-;_-* &quot;-&quot;??_-;_-@_-">
                  <c:v>118320.18888812501</c:v>
                </c:pt>
                <c:pt idx="11" formatCode="_-* #,##0_-;\-* #,##0_-;_-* &quot;-&quot;??_-;_-@_-">
                  <c:v>128404.17944371875</c:v>
                </c:pt>
                <c:pt idx="12" formatCode="_-* #,##0_-;\-* #,##0_-;_-* &quot;-&quot;??_-;_-@_-">
                  <c:v>137983.97047153281</c:v>
                </c:pt>
                <c:pt idx="13" formatCode="_-* #,##0_-;\-* #,##0_-;_-* &quot;-&quot;??_-;_-@_-">
                  <c:v>147084.77194795618</c:v>
                </c:pt>
                <c:pt idx="14" formatCode="_-* #,##0_-;\-* #,##0_-;_-* &quot;-&quot;??_-;_-@_-">
                  <c:v>147084.77194795618</c:v>
                </c:pt>
                <c:pt idx="15" formatCode="_-* #,##0_-;\-* #,##0_-;_-* &quot;-&quot;??_-;_-@_-">
                  <c:v>155730.53335055837</c:v>
                </c:pt>
                <c:pt idx="16" formatCode="_-* #,##0_-;\-* #,##0_-;_-* &quot;-&quot;??_-;_-@_-">
                  <c:v>163944.00668303046</c:v>
                </c:pt>
                <c:pt idx="17" formatCode="_-* #,##0_-;\-* #,##0_-;_-* &quot;-&quot;??_-;_-@_-">
                  <c:v>171746.80634887895</c:v>
                </c:pt>
                <c:pt idx="18" formatCode="_-* #,##0_-;\-* #,##0_-;_-* &quot;-&quot;??_-;_-@_-">
                  <c:v>179159.466031435</c:v>
                </c:pt>
                <c:pt idx="19" formatCode="_-* #,##0_-;\-* #,##0_-;_-* &quot;-&quot;??_-;_-@_-">
                  <c:v>186201.49272986327</c:v>
                </c:pt>
                <c:pt idx="20" formatCode="_-* #,##0_-;\-* #,##0_-;_-* &quot;-&quot;??_-;_-@_-">
                  <c:v>192891.4180933701</c:v>
                </c:pt>
                <c:pt idx="21" formatCode="_-* #,##0_-;\-* #,##0_-;_-* &quot;-&quot;??_-;_-@_-">
                  <c:v>199246.84718870159</c:v>
                </c:pt>
                <c:pt idx="22" formatCode="_-* #,##0_-;\-* #,##0_-;_-* &quot;-&quot;??_-;_-@_-">
                  <c:v>205284.50482926652</c:v>
                </c:pt>
                <c:pt idx="23" formatCode="_-* #,##0_-;\-* #,##0_-;_-* &quot;-&quot;??_-;_-@_-">
                  <c:v>211020.27958780318</c:v>
                </c:pt>
                <c:pt idx="24" formatCode="_-* #,##0_-;\-* #,##0_-;_-* &quot;-&quot;??_-;_-@_-">
                  <c:v>216469.26560841303</c:v>
                </c:pt>
                <c:pt idx="25" formatCode="_-* #,##0_-;\-* #,##0_-;_-* &quot;-&quot;??_-;_-@_-">
                  <c:v>221645.80232799237</c:v>
                </c:pt>
                <c:pt idx="26" formatCode="_-* #,##0_-;\-* #,##0_-;_-* &quot;-&quot;??_-;_-@_-">
                  <c:v>226563.51221159275</c:v>
                </c:pt>
                <c:pt idx="28" formatCode="_-* #,##0_-;\-* #,##0_-;_-* &quot;-&quot;??_-;_-@_-">
                  <c:v>231235.33660101311</c:v>
                </c:pt>
                <c:pt idx="29" formatCode="_-* #,##0_-;\-* #,##0_-;_-* &quot;-&quot;??_-;_-@_-">
                  <c:v>235673.56977096247</c:v>
                </c:pt>
                <c:pt idx="30" formatCode="_-* #,##0_-;\-* #,##0_-;_-* &quot;-&quot;??_-;_-@_-">
                  <c:v>239889.89128241435</c:v>
                </c:pt>
                <c:pt idx="31" formatCode="_-* #,##0_-;\-* #,##0_-;_-* &quot;-&quot;??_-;_-@_-">
                  <c:v>243895.39671829363</c:v>
                </c:pt>
                <c:pt idx="32" formatCode="_-* #,##0_-;\-* #,##0_-;_-* &quot;-&quot;??_-;_-@_-">
                  <c:v>247700.62688237894</c:v>
                </c:pt>
                <c:pt idx="33" formatCode="_-* #,##0_-;\-* #,##0_-;_-* &quot;-&quot;??_-;_-@_-">
                  <c:v>251315.59553826001</c:v>
                </c:pt>
                <c:pt idx="34" formatCode="_-* #,##0_-;\-* #,##0_-;_-* &quot;-&quot;??_-;_-@_-">
                  <c:v>254749.81576134701</c:v>
                </c:pt>
                <c:pt idx="35" formatCode="_-* #,##0_-;\-* #,##0_-;_-* &quot;-&quot;??_-;_-@_-">
                  <c:v>258012.32497327967</c:v>
                </c:pt>
                <c:pt idx="36" formatCode="_-* #,##0_-;\-* #,##0_-;_-* &quot;-&quot;??_-;_-@_-">
                  <c:v>261111.70872461569</c:v>
                </c:pt>
                <c:pt idx="37" formatCode="_-* #,##0_-;\-* #,##0_-;_-* &quot;-&quot;??_-;_-@_-">
                  <c:v>264056.12328838487</c:v>
                </c:pt>
                <c:pt idx="38" formatCode="_-* #,##0_-;\-* #,##0_-;_-* &quot;-&quot;??_-;_-@_-">
                  <c:v>266853.31712396559</c:v>
                </c:pt>
                <c:pt idx="39" formatCode="_-* #,##0_-;\-* #,##0_-;_-* &quot;-&quot;??_-;_-@_-">
                  <c:v>269510.6512677673</c:v>
                </c:pt>
                <c:pt idx="40" formatCode="_-* #,##0_-;\-* #,##0_-;_-* &quot;-&quot;??_-;_-@_-">
                  <c:v>272035.11870437895</c:v>
                </c:pt>
                <c:pt idx="41" formatCode="_-* #,##0_-;\-* #,##0_-;_-* &quot;-&quot;??_-;_-@_-">
                  <c:v>274433.36276916001</c:v>
                </c:pt>
                <c:pt idx="42" formatCode="_-* #,##0_-;\-* #,##0_-;_-* &quot;-&quot;??_-;_-@_-">
                  <c:v>276711.69463070203</c:v>
                </c:pt>
                <c:pt idx="43" formatCode="_-* #,##0_-;\-* #,##0_-;_-* &quot;-&quot;??_-;_-@_-">
                  <c:v>278876.10989916691</c:v>
                </c:pt>
                <c:pt idx="44" formatCode="_-* #,##0_-;\-* #,##0_-;_-* &quot;-&quot;??_-;_-@_-">
                  <c:v>280932.30440420855</c:v>
                </c:pt>
                <c:pt idx="45" formatCode="_-* #,##0_-;\-* #,##0_-;_-* &quot;-&quot;??_-;_-@_-">
                  <c:v>282885.68918399815</c:v>
                </c:pt>
                <c:pt idx="46" formatCode="_-* #,##0_-;\-* #,##0_-;_-* &quot;-&quot;??_-;_-@_-">
                  <c:v>284741.40472479822</c:v>
                </c:pt>
                <c:pt idx="47" formatCode="_-* #,##0_-;\-* #,##0_-;_-* &quot;-&quot;??_-;_-@_-">
                  <c:v>286504.33448855829</c:v>
                </c:pt>
                <c:pt idx="48" formatCode="_-* #,##0_-;\-* #,##0_-;_-* &quot;-&quot;??_-;_-@_-">
                  <c:v>288179.11776413035</c:v>
                </c:pt>
                <c:pt idx="49" formatCode="_-* #,##0_-;\-* #,##0_-;_-* &quot;-&quot;??_-;_-@_-">
                  <c:v>289770.16187592386</c:v>
                </c:pt>
                <c:pt idx="50" formatCode="_-* #,##0_-;\-* #,##0_-;_-* &quot;-&quot;??_-;_-@_-">
                  <c:v>291281.65378212766</c:v>
                </c:pt>
                <c:pt idx="51" formatCode="_-* #,##0_-;\-* #,##0_-;_-* &quot;-&quot;??_-;_-@_-">
                  <c:v>292717.57109302125</c:v>
                </c:pt>
                <c:pt idx="52" formatCode="_-* #,##0_-;\-* #,##0_-;_-* &quot;-&quot;??_-;_-@_-">
                  <c:v>294081.6925383702</c:v>
                </c:pt>
                <c:pt idx="53" formatCode="_-* #,##0_-;\-* #,##0_-;_-* &quot;-&quot;??_-;_-@_-">
                  <c:v>295377.60791145172</c:v>
                </c:pt>
                <c:pt idx="54" formatCode="_-* #,##0_-;\-* #,##0_-;_-* &quot;-&quot;??_-;_-@_-">
                  <c:v>296608.72751587915</c:v>
                </c:pt>
                <c:pt idx="55" formatCode="_-* #,##0_-;\-* #,##0_-;_-* &quot;-&quot;??_-;_-@_-">
                  <c:v>297778.2911400852</c:v>
                </c:pt>
                <c:pt idx="56" formatCode="_-* #,##0_-;\-* #,##0_-;_-* &quot;-&quot;??_-;_-@_-">
                  <c:v>298889.37658308097</c:v>
                </c:pt>
                <c:pt idx="57" formatCode="_-* #,##0_-;\-* #,##0_-;_-* &quot;-&quot;??_-;_-@_-">
                  <c:v>299944.90775392693</c:v>
                </c:pt>
                <c:pt idx="58" formatCode="_-* #,##0_-;\-* #,##0_-;_-* &quot;-&quot;??_-;_-@_-">
                  <c:v>300947.66236623056</c:v>
                </c:pt>
                <c:pt idx="59" formatCode="_-* #,##0_-;\-* #,##0_-;_-* &quot;-&quot;??_-;_-@_-">
                  <c:v>301900.27924791904</c:v>
                </c:pt>
                <c:pt idx="60" formatCode="_-* #,##0_-;\-* #,##0_-;_-* &quot;-&quot;??_-;_-@_-">
                  <c:v>302805.26528552308</c:v>
                </c:pt>
                <c:pt idx="61" formatCode="_-* #,##0_-;\-* #,##0_-;_-* &quot;-&quot;??_-;_-@_-">
                  <c:v>303665.00202124694</c:v>
                </c:pt>
                <c:pt idx="62" formatCode="_-* #,##0_-;\-* #,##0_-;_-* &quot;-&quot;??_-;_-@_-">
                  <c:v>304481.75192018459</c:v>
                </c:pt>
                <c:pt idx="63" formatCode="_-* #,##0_-;\-* #,##0_-;_-* &quot;-&quot;??_-;_-@_-">
                  <c:v>305257.66432417533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5E-4B9A-8B2F-2B38D3801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293360"/>
        <c:axId val="1198294320"/>
      </c:lineChart>
      <c:catAx>
        <c:axId val="1198293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294320"/>
        <c:crosses val="autoZero"/>
        <c:auto val="1"/>
        <c:lblAlgn val="ctr"/>
        <c:lblOffset val="100"/>
        <c:noMultiLvlLbl val="0"/>
      </c:catAx>
      <c:valAx>
        <c:axId val="1198294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29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1555750</xdr:colOff>
      <xdr:row>41</xdr:row>
      <xdr:rowOff>269875</xdr:rowOff>
    </xdr:from>
    <xdr:to>
      <xdr:col>7</xdr:col>
      <xdr:colOff>508000</xdr:colOff>
      <xdr:row>50</xdr:row>
      <xdr:rowOff>63500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61C45CF-D10B-1994-4BEC-2D757A61EC3E}"/>
            </a:ext>
          </a:extLst>
        </xdr:cNvPr>
        <xdr:cNvCxnSpPr/>
      </xdr:nvCxnSpPr>
      <xdr:spPr>
        <a:xfrm>
          <a:off x="13096875" y="10477500"/>
          <a:ext cx="3873500" cy="1968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822324</xdr:colOff>
      <xdr:row>11</xdr:row>
      <xdr:rowOff>177800</xdr:rowOff>
    </xdr:from>
    <xdr:to>
      <xdr:col>11</xdr:col>
      <xdr:colOff>254000</xdr:colOff>
      <xdr:row>31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3CA5CF-8B41-3667-C295-BAF795E4E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350520</xdr:colOff>
      <xdr:row>12</xdr:row>
      <xdr:rowOff>60960</xdr:rowOff>
    </xdr:from>
    <xdr:to>
      <xdr:col>4</xdr:col>
      <xdr:colOff>294781</xdr:colOff>
      <xdr:row>31</xdr:row>
      <xdr:rowOff>131234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17F87B-2008-4BEC-B8A6-C402E8BFB6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32</xdr:row>
      <xdr:rowOff>0</xdr:rowOff>
    </xdr:from>
    <xdr:to>
      <xdr:col>8</xdr:col>
      <xdr:colOff>495865</xdr:colOff>
      <xdr:row>52</xdr:row>
      <xdr:rowOff>78035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563DE6-0E74-4E6C-81B1-500E0337A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397C-C0ED-4B54-8ED4-3244C41DEA5E}">
  <sheetPr>
    <pageSetUpPr fitToPage="1"/>
  </sheetPr>
  <dimension ref="B1:BZ81"/>
  <sheetViews>
    <sheetView tabSelected="1" topLeftCell="C1" zoomScale="60" zoomScaleNormal="60" workbookViewId="0">
      <pane xSplit="3" ySplit="4" topLeftCell="F5" activePane="bottomRight" state="frozen"/>
      <selection activeCell="C1" sqref="C1"/>
      <selection pane="topRight" activeCell="E1" sqref="E1"/>
      <selection pane="bottomLeft" activeCell="C4" sqref="C4"/>
      <selection pane="bottomRight" activeCell="D48" sqref="D48"/>
    </sheetView>
  </sheetViews>
  <sheetFormatPr defaultRowHeight="18.75" x14ac:dyDescent="0.3"/>
  <cols>
    <col min="3" max="3" width="10.42578125" bestFit="1" customWidth="1"/>
    <col min="4" max="4" width="144.42578125" bestFit="1" customWidth="1"/>
    <col min="5" max="5" width="40.140625" bestFit="1" customWidth="1"/>
    <col min="6" max="6" width="13.28515625" style="19" bestFit="1" customWidth="1"/>
    <col min="7" max="8" width="20.140625" bestFit="1" customWidth="1"/>
    <col min="9" max="9" width="21.28515625" bestFit="1" customWidth="1"/>
    <col min="10" max="10" width="20.5703125" bestFit="1" customWidth="1"/>
    <col min="11" max="11" width="21.28515625" bestFit="1" customWidth="1"/>
    <col min="12" max="12" width="20.5703125" bestFit="1" customWidth="1"/>
    <col min="13" max="13" width="21.28515625" bestFit="1" customWidth="1"/>
    <col min="14" max="16" width="20.5703125" bestFit="1" customWidth="1"/>
    <col min="17" max="18" width="21.28515625" bestFit="1" customWidth="1"/>
    <col min="19" max="19" width="22.7109375" style="198" bestFit="1" customWidth="1"/>
    <col min="20" max="20" width="21.28515625" bestFit="1" customWidth="1"/>
    <col min="21" max="22" width="20.5703125" bestFit="1" customWidth="1"/>
    <col min="23" max="24" width="21.85546875" bestFit="1" customWidth="1"/>
    <col min="25" max="25" width="22.28515625" bestFit="1" customWidth="1"/>
    <col min="26" max="26" width="20.5703125" bestFit="1" customWidth="1"/>
    <col min="27" max="27" width="21.28515625" bestFit="1" customWidth="1"/>
    <col min="28" max="28" width="21.85546875" bestFit="1" customWidth="1"/>
    <col min="29" max="29" width="20.5703125" bestFit="1" customWidth="1"/>
    <col min="30" max="31" width="21.85546875" bestFit="1" customWidth="1"/>
    <col min="32" max="32" width="23.28515625" bestFit="1" customWidth="1"/>
    <col min="33" max="33" width="22.28515625" bestFit="1" customWidth="1"/>
    <col min="34" max="34" width="21.85546875" bestFit="1" customWidth="1"/>
    <col min="35" max="35" width="21.28515625" bestFit="1" customWidth="1"/>
    <col min="36" max="37" width="22.28515625" bestFit="1" customWidth="1"/>
    <col min="38" max="40" width="21.85546875" bestFit="1" customWidth="1"/>
    <col min="41" max="43" width="22.28515625" bestFit="1" customWidth="1"/>
    <col min="44" max="44" width="21.85546875" bestFit="1" customWidth="1"/>
    <col min="45" max="45" width="21.28515625" bestFit="1" customWidth="1"/>
    <col min="46" max="46" width="22.28515625" bestFit="1" customWidth="1"/>
    <col min="47" max="48" width="21.85546875" bestFit="1" customWidth="1"/>
    <col min="49" max="50" width="21.28515625" bestFit="1" customWidth="1"/>
    <col min="51" max="51" width="21.85546875" bestFit="1" customWidth="1"/>
    <col min="52" max="52" width="22.28515625" bestFit="1" customWidth="1"/>
    <col min="53" max="53" width="21.85546875" bestFit="1" customWidth="1"/>
    <col min="54" max="54" width="20.5703125" bestFit="1" customWidth="1"/>
    <col min="55" max="56" width="21.85546875" bestFit="1" customWidth="1"/>
    <col min="57" max="63" width="22.28515625" bestFit="1" customWidth="1"/>
    <col min="64" max="64" width="21.28515625" bestFit="1" customWidth="1"/>
    <col min="65" max="65" width="22.28515625" bestFit="1" customWidth="1"/>
    <col min="66" max="67" width="21.85546875" bestFit="1" customWidth="1"/>
    <col min="68" max="68" width="22.28515625" bestFit="1" customWidth="1"/>
    <col min="69" max="69" width="21.28515625" bestFit="1" customWidth="1"/>
    <col min="70" max="70" width="72" style="154" bestFit="1" customWidth="1"/>
    <col min="71" max="71" width="44" style="154" bestFit="1" customWidth="1"/>
    <col min="72" max="72" width="17.7109375" style="154" bestFit="1" customWidth="1"/>
    <col min="73" max="76" width="19.140625" style="154" bestFit="1" customWidth="1"/>
    <col min="77" max="77" width="21.28515625" bestFit="1" customWidth="1"/>
  </cols>
  <sheetData>
    <row r="1" spans="2:78" x14ac:dyDescent="0.3">
      <c r="E1" s="52" t="s">
        <v>192</v>
      </c>
      <c r="G1" s="270">
        <v>0.10249999999999999</v>
      </c>
    </row>
    <row r="2" spans="2:78" x14ac:dyDescent="0.3">
      <c r="D2" s="135"/>
      <c r="E2" s="2" t="s">
        <v>5</v>
      </c>
      <c r="G2" s="49" t="s">
        <v>137</v>
      </c>
      <c r="H2">
        <v>17.2</v>
      </c>
    </row>
    <row r="3" spans="2:78" x14ac:dyDescent="0.3">
      <c r="E3" t="s">
        <v>165</v>
      </c>
      <c r="G3">
        <f>G12/G10</f>
        <v>89.32539956521741</v>
      </c>
      <c r="H3">
        <f t="shared" ref="H3:BP3" si="0">H12/H10</f>
        <v>87.566072642140497</v>
      </c>
      <c r="I3">
        <f t="shared" si="0"/>
        <v>86.980144306672258</v>
      </c>
      <c r="J3">
        <f t="shared" si="0"/>
        <v>86.687565111563302</v>
      </c>
      <c r="K3">
        <f t="shared" si="0"/>
        <v>86.512325006334351</v>
      </c>
      <c r="L3">
        <f t="shared" si="0"/>
        <v>86.395753840850944</v>
      </c>
      <c r="M3">
        <f t="shared" si="0"/>
        <v>86.312707151759867</v>
      </c>
      <c r="N3">
        <f t="shared" si="0"/>
        <v>86.250612609280154</v>
      </c>
      <c r="O3">
        <f t="shared" si="0"/>
        <v>86.202485499625311</v>
      </c>
      <c r="P3">
        <f t="shared" si="0"/>
        <v>86.164134918111046</v>
      </c>
      <c r="Q3">
        <f t="shared" si="0"/>
        <v>86.132893857054682</v>
      </c>
      <c r="R3">
        <f t="shared" si="0"/>
        <v>86.106984249833459</v>
      </c>
      <c r="T3">
        <f t="shared" si="0"/>
        <v>86.0851750716281</v>
      </c>
      <c r="U3">
        <f t="shared" si="0"/>
        <v>86.066586968505419</v>
      </c>
      <c r="V3">
        <f t="shared" si="0"/>
        <v>86.050575034944217</v>
      </c>
      <c r="W3">
        <f t="shared" si="0"/>
        <v>86.036655549857159</v>
      </c>
      <c r="X3">
        <f t="shared" si="0"/>
        <v>86.024458570547594</v>
      </c>
      <c r="Y3">
        <f t="shared" si="0"/>
        <v>86.013696328734014</v>
      </c>
      <c r="Z3">
        <f t="shared" si="0"/>
        <v>86.004141606824348</v>
      </c>
      <c r="AA3">
        <f t="shared" si="0"/>
        <v>85.995612601348896</v>
      </c>
      <c r="AB3">
        <f t="shared" si="0"/>
        <v>85.987962111162574</v>
      </c>
      <c r="AC3">
        <f t="shared" si="0"/>
        <v>85.981069674349754</v>
      </c>
      <c r="AD3">
        <f t="shared" si="0"/>
        <v>85.974835756397752</v>
      </c>
      <c r="AE3">
        <f t="shared" si="0"/>
        <v>85.969177391348722</v>
      </c>
      <c r="AG3">
        <f t="shared" si="0"/>
        <v>85.964024869093166</v>
      </c>
      <c r="AH3">
        <f t="shared" si="0"/>
        <v>85.959319187148949</v>
      </c>
      <c r="AI3">
        <f t="shared" si="0"/>
        <v>85.955010068722217</v>
      </c>
      <c r="AJ3">
        <f t="shared" si="0"/>
        <v>85.951054405478644</v>
      </c>
      <c r="AK3">
        <f t="shared" si="0"/>
        <v>85.947415022504416</v>
      </c>
      <c r="AL3">
        <f t="shared" si="0"/>
        <v>85.944059690278479</v>
      </c>
      <c r="AM3">
        <f t="shared" si="0"/>
        <v>85.940960327876127</v>
      </c>
      <c r="AN3">
        <f t="shared" si="0"/>
        <v>85.938092355570475</v>
      </c>
      <c r="AO3">
        <f t="shared" si="0"/>
        <v>85.9354341651391</v>
      </c>
      <c r="AP3">
        <f t="shared" si="0"/>
        <v>85.932966683640743</v>
      </c>
      <c r="AQ3">
        <f t="shared" si="0"/>
        <v>85.930673011966093</v>
      </c>
      <c r="AR3">
        <f t="shared" si="0"/>
        <v>85.928538123622076</v>
      </c>
      <c r="AS3">
        <f t="shared" si="0"/>
        <v>85.926548612352164</v>
      </c>
      <c r="AT3">
        <f t="shared" si="0"/>
        <v>85.924692479595507</v>
      </c>
      <c r="AU3">
        <f t="shared" si="0"/>
        <v>85.922958954633046</v>
      </c>
      <c r="AV3">
        <f t="shared" si="0"/>
        <v>85.921338341699169</v>
      </c>
      <c r="AW3">
        <f t="shared" si="0"/>
        <v>85.919821889454155</v>
      </c>
      <c r="AX3">
        <f t="shared" si="0"/>
        <v>85.918401679089499</v>
      </c>
      <c r="AY3">
        <f t="shared" si="0"/>
        <v>85.917070528032227</v>
      </c>
      <c r="AZ3">
        <f t="shared" si="0"/>
        <v>85.915821906765544</v>
      </c>
      <c r="BA3">
        <f t="shared" si="0"/>
        <v>85.914649866725341</v>
      </c>
      <c r="BB3">
        <f t="shared" si="0"/>
        <v>85.913548977585961</v>
      </c>
      <c r="BC3">
        <f t="shared" si="0"/>
        <v>85.912514272536797</v>
      </c>
      <c r="BD3">
        <f t="shared" si="0"/>
        <v>85.911541200383837</v>
      </c>
      <c r="BE3">
        <f t="shared" si="0"/>
        <v>85.910625583500845</v>
      </c>
      <c r="BF3">
        <f t="shared" si="0"/>
        <v>85.909763580811031</v>
      </c>
      <c r="BG3">
        <f t="shared" si="0"/>
        <v>85.908951655108382</v>
      </c>
      <c r="BH3">
        <f t="shared" si="0"/>
        <v>85.908186544134765</v>
      </c>
      <c r="BI3">
        <f t="shared" si="0"/>
        <v>85.907465234916131</v>
      </c>
      <c r="BJ3">
        <f t="shared" si="0"/>
        <v>85.906784940935808</v>
      </c>
      <c r="BK3">
        <f t="shared" si="0"/>
        <v>85.906143081783355</v>
      </c>
      <c r="BL3">
        <f t="shared" si="0"/>
        <v>85.905537264970249</v>
      </c>
      <c r="BM3">
        <f t="shared" si="0"/>
        <v>85.904965269645515</v>
      </c>
      <c r="BN3">
        <f t="shared" si="0"/>
        <v>85.904425031983081</v>
      </c>
      <c r="BO3">
        <f t="shared" si="0"/>
        <v>85.903914632041989</v>
      </c>
      <c r="BP3">
        <f t="shared" si="0"/>
        <v>85.903432281927948</v>
      </c>
      <c r="BR3" s="155"/>
      <c r="BS3" s="155"/>
      <c r="BT3" s="155"/>
      <c r="BU3" s="155"/>
      <c r="BV3" s="155"/>
      <c r="BW3" s="155"/>
      <c r="BX3" s="155"/>
      <c r="BY3" s="1"/>
      <c r="BZ3" s="1"/>
    </row>
    <row r="4" spans="2:78" x14ac:dyDescent="0.3">
      <c r="B4" s="1"/>
      <c r="C4" s="1"/>
      <c r="F4" s="47" t="s">
        <v>106</v>
      </c>
      <c r="G4" s="17" t="s">
        <v>16</v>
      </c>
      <c r="H4" s="17" t="s">
        <v>17</v>
      </c>
      <c r="I4" s="17" t="s">
        <v>18</v>
      </c>
      <c r="J4" s="17" t="s">
        <v>19</v>
      </c>
      <c r="K4" s="17" t="s">
        <v>20</v>
      </c>
      <c r="L4" s="17" t="s">
        <v>21</v>
      </c>
      <c r="M4" s="17" t="s">
        <v>22</v>
      </c>
      <c r="N4" s="17" t="s">
        <v>23</v>
      </c>
      <c r="O4" s="17" t="s">
        <v>24</v>
      </c>
      <c r="P4" s="17" t="s">
        <v>25</v>
      </c>
      <c r="Q4" s="17" t="s">
        <v>26</v>
      </c>
      <c r="R4" s="17" t="s">
        <v>27</v>
      </c>
      <c r="S4" s="199" t="s">
        <v>171</v>
      </c>
      <c r="T4" s="17" t="s">
        <v>28</v>
      </c>
      <c r="U4" s="17" t="s">
        <v>29</v>
      </c>
      <c r="V4" s="17" t="s">
        <v>30</v>
      </c>
      <c r="W4" s="17" t="s">
        <v>31</v>
      </c>
      <c r="X4" s="17" t="s">
        <v>32</v>
      </c>
      <c r="Y4" s="17" t="s">
        <v>33</v>
      </c>
      <c r="Z4" s="17" t="s">
        <v>34</v>
      </c>
      <c r="AA4" s="17" t="s">
        <v>35</v>
      </c>
      <c r="AB4" s="17" t="s">
        <v>36</v>
      </c>
      <c r="AC4" s="17" t="s">
        <v>37</v>
      </c>
      <c r="AD4" s="17" t="s">
        <v>38</v>
      </c>
      <c r="AE4" s="17" t="s">
        <v>39</v>
      </c>
      <c r="AF4" s="199" t="s">
        <v>171</v>
      </c>
      <c r="AG4" s="17" t="s">
        <v>40</v>
      </c>
      <c r="AH4" s="17" t="s">
        <v>41</v>
      </c>
      <c r="AI4" s="17" t="s">
        <v>42</v>
      </c>
      <c r="AJ4" s="17" t="s">
        <v>43</v>
      </c>
      <c r="AK4" s="17" t="s">
        <v>44</v>
      </c>
      <c r="AL4" s="17" t="s">
        <v>45</v>
      </c>
      <c r="AM4" s="17" t="s">
        <v>46</v>
      </c>
      <c r="AN4" s="17" t="s">
        <v>47</v>
      </c>
      <c r="AO4" s="17" t="s">
        <v>48</v>
      </c>
      <c r="AP4" s="17" t="s">
        <v>49</v>
      </c>
      <c r="AQ4" s="17" t="s">
        <v>50</v>
      </c>
      <c r="AR4" s="17" t="s">
        <v>51</v>
      </c>
      <c r="AS4" s="17" t="s">
        <v>71</v>
      </c>
      <c r="AT4" s="17" t="s">
        <v>72</v>
      </c>
      <c r="AU4" s="17" t="s">
        <v>73</v>
      </c>
      <c r="AV4" s="17" t="s">
        <v>74</v>
      </c>
      <c r="AW4" s="17" t="s">
        <v>75</v>
      </c>
      <c r="AX4" s="17" t="s">
        <v>76</v>
      </c>
      <c r="AY4" s="17" t="s">
        <v>77</v>
      </c>
      <c r="AZ4" s="17" t="s">
        <v>78</v>
      </c>
      <c r="BA4" s="17" t="s">
        <v>79</v>
      </c>
      <c r="BB4" s="17" t="s">
        <v>80</v>
      </c>
      <c r="BC4" s="17" t="s">
        <v>81</v>
      </c>
      <c r="BD4" s="17" t="s">
        <v>82</v>
      </c>
      <c r="BE4" s="17" t="s">
        <v>83</v>
      </c>
      <c r="BF4" s="17" t="s">
        <v>84</v>
      </c>
      <c r="BG4" s="17" t="s">
        <v>85</v>
      </c>
      <c r="BH4" s="17" t="s">
        <v>86</v>
      </c>
      <c r="BI4" s="17" t="s">
        <v>87</v>
      </c>
      <c r="BJ4" s="17" t="s">
        <v>88</v>
      </c>
      <c r="BK4" s="17" t="s">
        <v>89</v>
      </c>
      <c r="BL4" s="17" t="s">
        <v>90</v>
      </c>
      <c r="BM4" s="17" t="s">
        <v>91</v>
      </c>
      <c r="BN4" s="17" t="s">
        <v>92</v>
      </c>
      <c r="BO4" s="17" t="s">
        <v>93</v>
      </c>
      <c r="BP4" s="17" t="s">
        <v>94</v>
      </c>
      <c r="BQ4" s="17" t="s">
        <v>55</v>
      </c>
      <c r="BR4" s="155"/>
      <c r="BS4" s="156" t="s">
        <v>156</v>
      </c>
      <c r="BT4" s="156" t="s">
        <v>95</v>
      </c>
      <c r="BU4" s="156" t="s">
        <v>96</v>
      </c>
      <c r="BV4" s="156" t="s">
        <v>97</v>
      </c>
      <c r="BW4" s="156" t="s">
        <v>98</v>
      </c>
      <c r="BX4" s="156" t="s">
        <v>99</v>
      </c>
      <c r="BY4" s="17" t="s">
        <v>55</v>
      </c>
      <c r="BZ4" s="1"/>
    </row>
    <row r="5" spans="2:78" s="85" customFormat="1" x14ac:dyDescent="0.3">
      <c r="D5" s="136" t="s">
        <v>116</v>
      </c>
      <c r="F5" s="86"/>
      <c r="G5" s="87">
        <v>16000</v>
      </c>
      <c r="H5" s="87">
        <f>G10</f>
        <v>16000</v>
      </c>
      <c r="I5" s="87">
        <f t="shared" ref="I5:R5" si="1">H10</f>
        <v>31200</v>
      </c>
      <c r="J5" s="87">
        <f t="shared" si="1"/>
        <v>45640</v>
      </c>
      <c r="K5" s="87">
        <f t="shared" si="1"/>
        <v>59358</v>
      </c>
      <c r="L5" s="87">
        <f t="shared" si="1"/>
        <v>72390.100000000006</v>
      </c>
      <c r="M5" s="87">
        <f t="shared" si="1"/>
        <v>84770.595000000001</v>
      </c>
      <c r="N5" s="87">
        <f t="shared" si="1"/>
        <v>96532.06525</v>
      </c>
      <c r="O5" s="87">
        <f t="shared" si="1"/>
        <v>107705.46198750001</v>
      </c>
      <c r="P5" s="87">
        <f t="shared" si="1"/>
        <v>118320.18888812501</v>
      </c>
      <c r="Q5" s="87">
        <f t="shared" si="1"/>
        <v>128404.17944371875</v>
      </c>
      <c r="R5" s="87">
        <f t="shared" si="1"/>
        <v>137983.97047153281</v>
      </c>
      <c r="S5" s="200">
        <f>SUM(G5:R5)</f>
        <v>914304.56104087655</v>
      </c>
      <c r="T5" s="87">
        <v>16000</v>
      </c>
      <c r="U5" s="87">
        <v>16000</v>
      </c>
      <c r="V5" s="87">
        <v>16000</v>
      </c>
      <c r="W5" s="87">
        <v>16000</v>
      </c>
      <c r="X5" s="87">
        <v>16000</v>
      </c>
      <c r="Y5" s="87">
        <v>16000</v>
      </c>
      <c r="Z5" s="87">
        <v>16000</v>
      </c>
      <c r="AA5" s="87">
        <v>16000</v>
      </c>
      <c r="AB5" s="87">
        <v>16000</v>
      </c>
      <c r="AC5" s="87">
        <v>16000</v>
      </c>
      <c r="AD5" s="87">
        <v>16000</v>
      </c>
      <c r="AE5" s="87">
        <v>16000</v>
      </c>
      <c r="AF5" s="87"/>
      <c r="AG5" s="87">
        <v>16000</v>
      </c>
      <c r="AH5" s="87">
        <v>16000</v>
      </c>
      <c r="AI5" s="87">
        <v>16000</v>
      </c>
      <c r="AJ5" s="87">
        <v>16000</v>
      </c>
      <c r="AK5" s="87">
        <v>16000</v>
      </c>
      <c r="AL5" s="87">
        <v>16000</v>
      </c>
      <c r="AM5" s="87">
        <v>16000</v>
      </c>
      <c r="AN5" s="87">
        <v>16000</v>
      </c>
      <c r="AO5" s="87">
        <v>16000</v>
      </c>
      <c r="AP5" s="87">
        <v>16000</v>
      </c>
      <c r="AQ5" s="87">
        <v>16000</v>
      </c>
      <c r="AR5" s="87">
        <v>16000</v>
      </c>
      <c r="AS5" s="87">
        <v>16000</v>
      </c>
      <c r="AT5" s="87">
        <v>16000</v>
      </c>
      <c r="AU5" s="87">
        <v>16000</v>
      </c>
      <c r="AV5" s="87">
        <v>16000</v>
      </c>
      <c r="AW5" s="87">
        <v>16000</v>
      </c>
      <c r="AX5" s="87">
        <v>16000</v>
      </c>
      <c r="AY5" s="87">
        <v>16000</v>
      </c>
      <c r="AZ5" s="87">
        <v>16000</v>
      </c>
      <c r="BA5" s="87">
        <v>16000</v>
      </c>
      <c r="BB5" s="87">
        <v>16000</v>
      </c>
      <c r="BC5" s="87">
        <v>16000</v>
      </c>
      <c r="BD5" s="87">
        <v>16000</v>
      </c>
      <c r="BE5" s="87">
        <v>16000</v>
      </c>
      <c r="BF5" s="87">
        <v>16000</v>
      </c>
      <c r="BG5" s="87">
        <v>16000</v>
      </c>
      <c r="BH5" s="87">
        <v>16000</v>
      </c>
      <c r="BI5" s="87">
        <v>16000</v>
      </c>
      <c r="BJ5" s="87">
        <v>16000</v>
      </c>
      <c r="BK5" s="87">
        <v>16000</v>
      </c>
      <c r="BL5" s="87">
        <v>16000</v>
      </c>
      <c r="BM5" s="87">
        <v>16000</v>
      </c>
      <c r="BN5" s="87">
        <v>16000</v>
      </c>
      <c r="BO5" s="87">
        <v>16000</v>
      </c>
      <c r="BP5" s="87">
        <v>16000</v>
      </c>
      <c r="BQ5" s="89">
        <f t="shared" ref="BQ5:BQ50" si="2">SUM(G5:BP5)-AF5-S5</f>
        <v>1682304.5610408764</v>
      </c>
      <c r="BR5" s="157"/>
      <c r="BS5" s="158"/>
      <c r="BT5" s="159"/>
      <c r="BU5" s="159"/>
      <c r="BV5" s="158"/>
      <c r="BW5" s="158"/>
      <c r="BX5" s="158"/>
      <c r="BY5" s="88"/>
    </row>
    <row r="6" spans="2:78" s="85" customFormat="1" x14ac:dyDescent="0.3">
      <c r="D6" s="137" t="s">
        <v>117</v>
      </c>
      <c r="F6" s="86"/>
      <c r="G6" s="89">
        <v>15800</v>
      </c>
      <c r="H6" s="89">
        <v>15800</v>
      </c>
      <c r="I6" s="89">
        <v>15800</v>
      </c>
      <c r="J6" s="89">
        <v>15800</v>
      </c>
      <c r="K6" s="89">
        <v>15800</v>
      </c>
      <c r="L6" s="89">
        <v>15800</v>
      </c>
      <c r="M6" s="89">
        <v>15800</v>
      </c>
      <c r="N6" s="89">
        <v>15800</v>
      </c>
      <c r="O6" s="89">
        <v>15800</v>
      </c>
      <c r="P6" s="89">
        <v>15800</v>
      </c>
      <c r="Q6" s="89">
        <v>15800</v>
      </c>
      <c r="R6" s="89">
        <v>15800</v>
      </c>
      <c r="S6" s="200">
        <f>SUM(G6:R6)</f>
        <v>189600</v>
      </c>
      <c r="T6" s="89">
        <v>15800</v>
      </c>
      <c r="U6" s="89">
        <v>15800</v>
      </c>
      <c r="V6" s="89">
        <v>15800</v>
      </c>
      <c r="W6" s="89">
        <v>15800</v>
      </c>
      <c r="X6" s="89">
        <v>15800</v>
      </c>
      <c r="Y6" s="89">
        <v>15800</v>
      </c>
      <c r="Z6" s="89">
        <v>15800</v>
      </c>
      <c r="AA6" s="89">
        <v>15800</v>
      </c>
      <c r="AB6" s="89">
        <v>15800</v>
      </c>
      <c r="AC6" s="89">
        <v>15800</v>
      </c>
      <c r="AD6" s="89">
        <v>15800</v>
      </c>
      <c r="AE6" s="89">
        <v>15800</v>
      </c>
      <c r="AF6" s="89"/>
      <c r="AG6" s="89">
        <v>15800</v>
      </c>
      <c r="AH6" s="89">
        <v>15800</v>
      </c>
      <c r="AI6" s="89">
        <v>15800</v>
      </c>
      <c r="AJ6" s="89">
        <v>15800</v>
      </c>
      <c r="AK6" s="89">
        <v>15800</v>
      </c>
      <c r="AL6" s="89">
        <v>15800</v>
      </c>
      <c r="AM6" s="89">
        <v>15800</v>
      </c>
      <c r="AN6" s="89">
        <v>15800</v>
      </c>
      <c r="AO6" s="89">
        <v>15800</v>
      </c>
      <c r="AP6" s="89">
        <v>15800</v>
      </c>
      <c r="AQ6" s="89">
        <v>15800</v>
      </c>
      <c r="AR6" s="89">
        <v>15800</v>
      </c>
      <c r="AS6" s="89">
        <v>15800</v>
      </c>
      <c r="AT6" s="89">
        <v>15800</v>
      </c>
      <c r="AU6" s="89">
        <v>15800</v>
      </c>
      <c r="AV6" s="89">
        <v>15800</v>
      </c>
      <c r="AW6" s="89">
        <v>15800</v>
      </c>
      <c r="AX6" s="89">
        <v>15800</v>
      </c>
      <c r="AY6" s="89">
        <v>15800</v>
      </c>
      <c r="AZ6" s="89">
        <v>15800</v>
      </c>
      <c r="BA6" s="89">
        <v>15800</v>
      </c>
      <c r="BB6" s="89">
        <v>15800</v>
      </c>
      <c r="BC6" s="89">
        <v>15800</v>
      </c>
      <c r="BD6" s="89">
        <v>15800</v>
      </c>
      <c r="BE6" s="89">
        <v>15800</v>
      </c>
      <c r="BF6" s="89">
        <v>15800</v>
      </c>
      <c r="BG6" s="89">
        <v>15800</v>
      </c>
      <c r="BH6" s="89">
        <v>15800</v>
      </c>
      <c r="BI6" s="89">
        <v>15800</v>
      </c>
      <c r="BJ6" s="89">
        <v>15800</v>
      </c>
      <c r="BK6" s="89">
        <v>15800</v>
      </c>
      <c r="BL6" s="89">
        <v>15800</v>
      </c>
      <c r="BM6" s="89">
        <v>15800</v>
      </c>
      <c r="BN6" s="89">
        <v>15800</v>
      </c>
      <c r="BO6" s="89">
        <v>15800</v>
      </c>
      <c r="BP6" s="89">
        <v>15800</v>
      </c>
      <c r="BQ6" s="89">
        <f t="shared" si="2"/>
        <v>948000</v>
      </c>
      <c r="BR6" s="157"/>
      <c r="BS6" s="158"/>
      <c r="BT6" s="159"/>
      <c r="BU6" s="159"/>
      <c r="BV6" s="158"/>
      <c r="BW6" s="158"/>
      <c r="BX6" s="158"/>
      <c r="BY6" s="88"/>
    </row>
    <row r="7" spans="2:78" s="85" customFormat="1" x14ac:dyDescent="0.3">
      <c r="D7" s="137" t="s">
        <v>118</v>
      </c>
      <c r="F7" s="86"/>
      <c r="G7" s="123">
        <v>200</v>
      </c>
      <c r="H7" s="89">
        <v>200</v>
      </c>
      <c r="I7" s="89">
        <v>200</v>
      </c>
      <c r="J7" s="89">
        <v>200</v>
      </c>
      <c r="K7" s="89">
        <v>200</v>
      </c>
      <c r="L7" s="89">
        <v>200</v>
      </c>
      <c r="M7" s="89">
        <v>200</v>
      </c>
      <c r="N7" s="89">
        <v>200</v>
      </c>
      <c r="O7" s="89">
        <v>200</v>
      </c>
      <c r="P7" s="89">
        <v>200</v>
      </c>
      <c r="Q7" s="89">
        <v>200</v>
      </c>
      <c r="R7" s="89">
        <v>200</v>
      </c>
      <c r="S7" s="200">
        <f>SUM(G7:R7)</f>
        <v>2400</v>
      </c>
      <c r="T7" s="89">
        <v>200</v>
      </c>
      <c r="U7" s="89">
        <v>200</v>
      </c>
      <c r="V7" s="89">
        <v>200</v>
      </c>
      <c r="W7" s="89">
        <v>200</v>
      </c>
      <c r="X7" s="89">
        <v>200</v>
      </c>
      <c r="Y7" s="89">
        <v>200</v>
      </c>
      <c r="Z7" s="89">
        <v>200</v>
      </c>
      <c r="AA7" s="89">
        <v>200</v>
      </c>
      <c r="AB7" s="89">
        <v>200</v>
      </c>
      <c r="AC7" s="89">
        <v>200</v>
      </c>
      <c r="AD7" s="89">
        <v>200</v>
      </c>
      <c r="AE7" s="89">
        <v>200</v>
      </c>
      <c r="AF7" s="89"/>
      <c r="AG7" s="89">
        <v>200</v>
      </c>
      <c r="AH7" s="89">
        <v>200</v>
      </c>
      <c r="AI7" s="89">
        <v>200</v>
      </c>
      <c r="AJ7" s="89">
        <v>200</v>
      </c>
      <c r="AK7" s="89">
        <v>200</v>
      </c>
      <c r="AL7" s="89">
        <v>200</v>
      </c>
      <c r="AM7" s="89">
        <v>200</v>
      </c>
      <c r="AN7" s="89">
        <v>200</v>
      </c>
      <c r="AO7" s="89">
        <v>200</v>
      </c>
      <c r="AP7" s="89">
        <v>200</v>
      </c>
      <c r="AQ7" s="89">
        <v>200</v>
      </c>
      <c r="AR7" s="89">
        <v>200</v>
      </c>
      <c r="AS7" s="89">
        <v>200</v>
      </c>
      <c r="AT7" s="89">
        <v>200</v>
      </c>
      <c r="AU7" s="89">
        <v>200</v>
      </c>
      <c r="AV7" s="89">
        <v>200</v>
      </c>
      <c r="AW7" s="89">
        <v>200</v>
      </c>
      <c r="AX7" s="89">
        <v>200</v>
      </c>
      <c r="AY7" s="89">
        <v>200</v>
      </c>
      <c r="AZ7" s="89">
        <v>200</v>
      </c>
      <c r="BA7" s="89">
        <v>200</v>
      </c>
      <c r="BB7" s="89">
        <v>200</v>
      </c>
      <c r="BC7" s="89">
        <v>200</v>
      </c>
      <c r="BD7" s="89">
        <v>200</v>
      </c>
      <c r="BE7" s="89">
        <v>200</v>
      </c>
      <c r="BF7" s="89">
        <v>200</v>
      </c>
      <c r="BG7" s="89">
        <v>200</v>
      </c>
      <c r="BH7" s="89">
        <v>200</v>
      </c>
      <c r="BI7" s="89">
        <v>200</v>
      </c>
      <c r="BJ7" s="89">
        <v>200</v>
      </c>
      <c r="BK7" s="89">
        <v>200</v>
      </c>
      <c r="BL7" s="89">
        <v>200</v>
      </c>
      <c r="BM7" s="89">
        <v>200</v>
      </c>
      <c r="BN7" s="89">
        <v>200</v>
      </c>
      <c r="BO7" s="89">
        <v>200</v>
      </c>
      <c r="BP7" s="89">
        <v>200</v>
      </c>
      <c r="BQ7" s="89">
        <f t="shared" si="2"/>
        <v>12000</v>
      </c>
      <c r="BR7" s="157"/>
      <c r="BS7" s="158"/>
      <c r="BT7" s="159"/>
      <c r="BU7" s="159"/>
      <c r="BV7" s="158"/>
      <c r="BW7" s="158"/>
      <c r="BX7" s="158"/>
      <c r="BY7" s="88"/>
    </row>
    <row r="8" spans="2:78" s="85" customFormat="1" x14ac:dyDescent="0.3">
      <c r="D8" s="137" t="s">
        <v>173</v>
      </c>
      <c r="F8" s="86"/>
      <c r="G8" s="183">
        <f>SUM(G6:G7)</f>
        <v>16000</v>
      </c>
      <c r="H8" s="123">
        <f>SUM(H5:H7)</f>
        <v>32000</v>
      </c>
      <c r="I8" s="123">
        <f t="shared" ref="I8:R8" si="3">SUM(I5:I7)</f>
        <v>47200</v>
      </c>
      <c r="J8" s="123">
        <f t="shared" si="3"/>
        <v>61640</v>
      </c>
      <c r="K8" s="123">
        <f t="shared" si="3"/>
        <v>75358</v>
      </c>
      <c r="L8" s="123">
        <f t="shared" si="3"/>
        <v>88390.1</v>
      </c>
      <c r="M8" s="123">
        <f t="shared" si="3"/>
        <v>100770.595</v>
      </c>
      <c r="N8" s="123">
        <f t="shared" si="3"/>
        <v>112532.06525</v>
      </c>
      <c r="O8" s="123">
        <f t="shared" si="3"/>
        <v>123705.46198750001</v>
      </c>
      <c r="P8" s="123">
        <f t="shared" si="3"/>
        <v>134320.18888812501</v>
      </c>
      <c r="Q8" s="123">
        <f t="shared" si="3"/>
        <v>144404.17944371875</v>
      </c>
      <c r="R8" s="123">
        <f t="shared" si="3"/>
        <v>153983.97047153281</v>
      </c>
      <c r="S8" s="200">
        <f>SUM(G8:R8)</f>
        <v>1090304.5610408764</v>
      </c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>
        <f t="shared" si="2"/>
        <v>1090304.5610408764</v>
      </c>
      <c r="BR8" s="157"/>
      <c r="BS8" s="158"/>
      <c r="BT8" s="159"/>
      <c r="BU8" s="159"/>
      <c r="BV8" s="158"/>
      <c r="BW8" s="158"/>
      <c r="BX8" s="158"/>
      <c r="BY8" s="88"/>
    </row>
    <row r="9" spans="2:78" s="85" customFormat="1" x14ac:dyDescent="0.3">
      <c r="D9" s="137" t="s">
        <v>172</v>
      </c>
      <c r="F9" s="86"/>
      <c r="G9" s="123">
        <v>0</v>
      </c>
      <c r="H9" s="123">
        <f>-H5*0.05</f>
        <v>-800</v>
      </c>
      <c r="I9" s="123">
        <f t="shared" ref="I9:S9" si="4">-I5*0.05</f>
        <v>-1560</v>
      </c>
      <c r="J9" s="123">
        <f t="shared" si="4"/>
        <v>-2282</v>
      </c>
      <c r="K9" s="123">
        <f t="shared" si="4"/>
        <v>-2967.9</v>
      </c>
      <c r="L9" s="123">
        <f t="shared" si="4"/>
        <v>-3619.5050000000006</v>
      </c>
      <c r="M9" s="123">
        <f t="shared" si="4"/>
        <v>-4238.5297500000006</v>
      </c>
      <c r="N9" s="123">
        <f t="shared" si="4"/>
        <v>-4826.6032624999998</v>
      </c>
      <c r="O9" s="123">
        <f t="shared" si="4"/>
        <v>-5385.273099375001</v>
      </c>
      <c r="P9" s="123">
        <f t="shared" si="4"/>
        <v>-5916.0094444062506</v>
      </c>
      <c r="Q9" s="123">
        <f t="shared" si="4"/>
        <v>-6420.2089721859375</v>
      </c>
      <c r="R9" s="123">
        <f t="shared" si="4"/>
        <v>-6899.1985235766406</v>
      </c>
      <c r="S9" s="201">
        <f t="shared" si="4"/>
        <v>-45715.228052043829</v>
      </c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>
        <f t="shared" si="2"/>
        <v>-44915.228052043829</v>
      </c>
      <c r="BR9" s="157"/>
      <c r="BS9" s="158"/>
      <c r="BT9" s="159"/>
      <c r="BU9" s="159"/>
      <c r="BV9" s="158"/>
      <c r="BW9" s="158"/>
      <c r="BX9" s="158"/>
      <c r="BY9" s="88"/>
    </row>
    <row r="10" spans="2:78" s="85" customFormat="1" ht="19.5" thickBot="1" x14ac:dyDescent="0.35">
      <c r="D10" s="137" t="s">
        <v>167</v>
      </c>
      <c r="F10" s="90"/>
      <c r="G10" s="184">
        <f>G8+G9</f>
        <v>16000</v>
      </c>
      <c r="H10" s="184">
        <f>H8+H9</f>
        <v>31200</v>
      </c>
      <c r="I10" s="184">
        <f t="shared" ref="I10:R10" si="5">I8+I9</f>
        <v>45640</v>
      </c>
      <c r="J10" s="184">
        <f t="shared" si="5"/>
        <v>59358</v>
      </c>
      <c r="K10" s="184">
        <f t="shared" si="5"/>
        <v>72390.100000000006</v>
      </c>
      <c r="L10" s="184">
        <f t="shared" si="5"/>
        <v>84770.595000000001</v>
      </c>
      <c r="M10" s="184">
        <f t="shared" si="5"/>
        <v>96532.06525</v>
      </c>
      <c r="N10" s="184">
        <f t="shared" si="5"/>
        <v>107705.46198750001</v>
      </c>
      <c r="O10" s="184">
        <f t="shared" si="5"/>
        <v>118320.18888812501</v>
      </c>
      <c r="P10" s="184">
        <f t="shared" si="5"/>
        <v>128404.17944371875</v>
      </c>
      <c r="Q10" s="184">
        <f t="shared" si="5"/>
        <v>137983.97047153281</v>
      </c>
      <c r="R10" s="184">
        <f t="shared" si="5"/>
        <v>147084.77194795618</v>
      </c>
      <c r="S10" s="202">
        <f>R10</f>
        <v>147084.77194795618</v>
      </c>
      <c r="T10" s="91">
        <f>R10-(R10*0.05)+T5</f>
        <v>155730.53335055837</v>
      </c>
      <c r="U10" s="91">
        <f t="shared" ref="U10:AE10" si="6">T10-(T10*0.05)+U5</f>
        <v>163944.00668303046</v>
      </c>
      <c r="V10" s="91">
        <f t="shared" si="6"/>
        <v>171746.80634887895</v>
      </c>
      <c r="W10" s="91">
        <f t="shared" si="6"/>
        <v>179159.466031435</v>
      </c>
      <c r="X10" s="91">
        <f t="shared" si="6"/>
        <v>186201.49272986327</v>
      </c>
      <c r="Y10" s="91">
        <f t="shared" si="6"/>
        <v>192891.4180933701</v>
      </c>
      <c r="Z10" s="91">
        <f t="shared" si="6"/>
        <v>199246.84718870159</v>
      </c>
      <c r="AA10" s="91">
        <f t="shared" si="6"/>
        <v>205284.50482926652</v>
      </c>
      <c r="AB10" s="91">
        <f t="shared" si="6"/>
        <v>211020.27958780318</v>
      </c>
      <c r="AC10" s="91">
        <f t="shared" si="6"/>
        <v>216469.26560841303</v>
      </c>
      <c r="AD10" s="91">
        <f t="shared" si="6"/>
        <v>221645.80232799237</v>
      </c>
      <c r="AE10" s="91">
        <f t="shared" si="6"/>
        <v>226563.51221159275</v>
      </c>
      <c r="AF10" s="91"/>
      <c r="AG10" s="91">
        <f>AE10-(AE10*0.05)+AG5</f>
        <v>231235.33660101311</v>
      </c>
      <c r="AH10" s="91">
        <f t="shared" ref="AH10:BP10" si="7">AG10-(AG10*0.05)+AH5</f>
        <v>235673.56977096247</v>
      </c>
      <c r="AI10" s="91">
        <f t="shared" si="7"/>
        <v>239889.89128241435</v>
      </c>
      <c r="AJ10" s="91">
        <f t="shared" si="7"/>
        <v>243895.39671829363</v>
      </c>
      <c r="AK10" s="91">
        <f t="shared" si="7"/>
        <v>247700.62688237894</v>
      </c>
      <c r="AL10" s="91">
        <f t="shared" si="7"/>
        <v>251315.59553826001</v>
      </c>
      <c r="AM10" s="91">
        <f t="shared" si="7"/>
        <v>254749.81576134701</v>
      </c>
      <c r="AN10" s="91">
        <f t="shared" si="7"/>
        <v>258012.32497327967</v>
      </c>
      <c r="AO10" s="91">
        <f t="shared" si="7"/>
        <v>261111.70872461569</v>
      </c>
      <c r="AP10" s="91">
        <f t="shared" si="7"/>
        <v>264056.12328838487</v>
      </c>
      <c r="AQ10" s="91">
        <f t="shared" si="7"/>
        <v>266853.31712396559</v>
      </c>
      <c r="AR10" s="91">
        <f t="shared" si="7"/>
        <v>269510.6512677673</v>
      </c>
      <c r="AS10" s="91">
        <f t="shared" si="7"/>
        <v>272035.11870437895</v>
      </c>
      <c r="AT10" s="91">
        <f t="shared" si="7"/>
        <v>274433.36276916001</v>
      </c>
      <c r="AU10" s="91">
        <f t="shared" si="7"/>
        <v>276711.69463070203</v>
      </c>
      <c r="AV10" s="91">
        <f t="shared" si="7"/>
        <v>278876.10989916691</v>
      </c>
      <c r="AW10" s="91">
        <f t="shared" si="7"/>
        <v>280932.30440420855</v>
      </c>
      <c r="AX10" s="91">
        <f t="shared" si="7"/>
        <v>282885.68918399815</v>
      </c>
      <c r="AY10" s="91">
        <f t="shared" si="7"/>
        <v>284741.40472479822</v>
      </c>
      <c r="AZ10" s="91">
        <f t="shared" si="7"/>
        <v>286504.33448855829</v>
      </c>
      <c r="BA10" s="91">
        <f t="shared" si="7"/>
        <v>288179.11776413035</v>
      </c>
      <c r="BB10" s="91">
        <f t="shared" si="7"/>
        <v>289770.16187592386</v>
      </c>
      <c r="BC10" s="91">
        <f t="shared" si="7"/>
        <v>291281.65378212766</v>
      </c>
      <c r="BD10" s="91">
        <f t="shared" si="7"/>
        <v>292717.57109302125</v>
      </c>
      <c r="BE10" s="91">
        <f t="shared" si="7"/>
        <v>294081.6925383702</v>
      </c>
      <c r="BF10" s="91">
        <f t="shared" si="7"/>
        <v>295377.60791145172</v>
      </c>
      <c r="BG10" s="91">
        <f t="shared" si="7"/>
        <v>296608.72751587915</v>
      </c>
      <c r="BH10" s="91">
        <f t="shared" si="7"/>
        <v>297778.2911400852</v>
      </c>
      <c r="BI10" s="91">
        <f t="shared" si="7"/>
        <v>298889.37658308097</v>
      </c>
      <c r="BJ10" s="91">
        <f t="shared" si="7"/>
        <v>299944.90775392693</v>
      </c>
      <c r="BK10" s="91">
        <f t="shared" si="7"/>
        <v>300947.66236623056</v>
      </c>
      <c r="BL10" s="91">
        <f t="shared" si="7"/>
        <v>301900.27924791904</v>
      </c>
      <c r="BM10" s="91">
        <f t="shared" si="7"/>
        <v>302805.26528552308</v>
      </c>
      <c r="BN10" s="91">
        <f t="shared" si="7"/>
        <v>303665.00202124694</v>
      </c>
      <c r="BO10" s="91">
        <f t="shared" si="7"/>
        <v>304481.75192018459</v>
      </c>
      <c r="BP10" s="91">
        <f t="shared" si="7"/>
        <v>305257.66432417533</v>
      </c>
      <c r="BQ10" s="89">
        <f t="shared" si="2"/>
        <v>13400104.37784067</v>
      </c>
      <c r="BR10" s="157"/>
      <c r="BS10" s="157"/>
      <c r="BT10" s="159"/>
      <c r="BU10" s="159"/>
      <c r="BV10" s="160"/>
      <c r="BW10" s="160"/>
      <c r="BX10" s="160"/>
      <c r="BY10" s="92"/>
    </row>
    <row r="11" spans="2:78" ht="19.5" thickTop="1" x14ac:dyDescent="0.3">
      <c r="B11" s="1"/>
      <c r="C11" s="1"/>
      <c r="D11" s="273" t="s">
        <v>164</v>
      </c>
      <c r="E11" s="273"/>
      <c r="F11" s="3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>
        <f>R10*0.0615</f>
        <v>9045.7134747993041</v>
      </c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>
        <f t="shared" si="2"/>
        <v>0</v>
      </c>
      <c r="BR11" s="155"/>
      <c r="BS11" s="155"/>
      <c r="BT11" s="161"/>
      <c r="BU11" s="161"/>
      <c r="BV11" s="161"/>
      <c r="BW11" s="161"/>
      <c r="BX11" s="161"/>
      <c r="BY11" s="37"/>
      <c r="BZ11" s="1"/>
    </row>
    <row r="12" spans="2:78" s="62" customFormat="1" ht="19.5" thickBot="1" x14ac:dyDescent="0.35">
      <c r="D12" s="63" t="s">
        <v>121</v>
      </c>
      <c r="E12" s="141"/>
      <c r="F12" s="64"/>
      <c r="G12" s="65">
        <f>SUM(G13:G18)</f>
        <v>1429206.3930434785</v>
      </c>
      <c r="H12" s="65">
        <f>SUM(H13:H18)</f>
        <v>2732061.4664347833</v>
      </c>
      <c r="I12" s="65">
        <f>SUM(I13:I18)</f>
        <v>3969773.7861565221</v>
      </c>
      <c r="J12" s="65">
        <f t="shared" ref="J12:AN12" si="8">SUM(J13:J18)</f>
        <v>5145600.4898921745</v>
      </c>
      <c r="K12" s="65">
        <f t="shared" si="8"/>
        <v>6262635.8584410446</v>
      </c>
      <c r="L12" s="65">
        <f t="shared" si="8"/>
        <v>7323819.45856247</v>
      </c>
      <c r="M12" s="65">
        <f t="shared" si="8"/>
        <v>8331943.8786778245</v>
      </c>
      <c r="N12" s="65">
        <f t="shared" si="8"/>
        <v>9289662.0777874123</v>
      </c>
      <c r="O12" s="65">
        <f t="shared" si="8"/>
        <v>10199494.366941523</v>
      </c>
      <c r="P12" s="65">
        <f t="shared" si="8"/>
        <v>11063835.041637924</v>
      </c>
      <c r="Q12" s="65">
        <f t="shared" si="8"/>
        <v>11884958.682599504</v>
      </c>
      <c r="R12" s="65">
        <f t="shared" si="8"/>
        <v>12665026.141513009</v>
      </c>
      <c r="S12" s="203">
        <f>SUM(G12:R12)</f>
        <v>90298017.641687661</v>
      </c>
      <c r="T12" s="65">
        <f t="shared" si="8"/>
        <v>13406090.227480836</v>
      </c>
      <c r="U12" s="65">
        <f t="shared" si="8"/>
        <v>14110101.109150274</v>
      </c>
      <c r="V12" s="65">
        <f t="shared" si="8"/>
        <v>14778911.446736243</v>
      </c>
      <c r="W12" s="65">
        <f t="shared" si="8"/>
        <v>15414281.267442908</v>
      </c>
      <c r="X12" s="65">
        <f t="shared" si="8"/>
        <v>16017882.597114241</v>
      </c>
      <c r="Y12" s="65">
        <f t="shared" si="8"/>
        <v>16591303.860302005</v>
      </c>
      <c r="Z12" s="65">
        <f t="shared" si="8"/>
        <v>17136054.060330383</v>
      </c>
      <c r="AA12" s="65">
        <f t="shared" si="8"/>
        <v>17653566.750357341</v>
      </c>
      <c r="AB12" s="65">
        <f t="shared" si="8"/>
        <v>18145203.805882953</v>
      </c>
      <c r="AC12" s="65">
        <f t="shared" si="8"/>
        <v>18612259.008632284</v>
      </c>
      <c r="AD12" s="65">
        <f t="shared" si="8"/>
        <v>19055961.451244146</v>
      </c>
      <c r="AE12" s="65">
        <f t="shared" si="8"/>
        <v>19477478.77172542</v>
      </c>
      <c r="AF12" s="65">
        <f>SUM(AF13:AF18)</f>
        <v>200399094.35639903</v>
      </c>
      <c r="AG12" s="65">
        <f t="shared" si="8"/>
        <v>19877920.226182621</v>
      </c>
      <c r="AH12" s="65">
        <f t="shared" si="8"/>
        <v>20258339.607916981</v>
      </c>
      <c r="AI12" s="65">
        <f t="shared" si="8"/>
        <v>20619738.020564605</v>
      </c>
      <c r="AJ12" s="65">
        <f t="shared" si="8"/>
        <v>20963066.512579855</v>
      </c>
      <c r="AK12" s="65">
        <f t="shared" si="8"/>
        <v>21289228.579994336</v>
      </c>
      <c r="AL12" s="65">
        <f t="shared" si="8"/>
        <v>21599082.544038102</v>
      </c>
      <c r="AM12" s="65">
        <f t="shared" si="8"/>
        <v>21893443.809879676</v>
      </c>
      <c r="AN12" s="65">
        <f t="shared" si="8"/>
        <v>22173087.01242917</v>
      </c>
      <c r="AO12" s="65">
        <f t="shared" ref="AO12:BP12" si="9">SUM(AO13:AO18)</f>
        <v>22438748.054851189</v>
      </c>
      <c r="AP12" s="65">
        <f t="shared" si="9"/>
        <v>22691126.045152109</v>
      </c>
      <c r="AQ12" s="65">
        <f t="shared" si="9"/>
        <v>22930885.135937978</v>
      </c>
      <c r="AR12" s="65">
        <f t="shared" si="9"/>
        <v>23158656.272184558</v>
      </c>
      <c r="AS12" s="65">
        <f t="shared" si="9"/>
        <v>23375038.851618808</v>
      </c>
      <c r="AT12" s="65">
        <f t="shared" si="9"/>
        <v>23580602.30208135</v>
      </c>
      <c r="AU12" s="65">
        <f t="shared" si="9"/>
        <v>23775887.580020763</v>
      </c>
      <c r="AV12" s="65">
        <f t="shared" si="9"/>
        <v>23961408.5940632</v>
      </c>
      <c r="AW12" s="65">
        <f t="shared" si="9"/>
        <v>24137653.557403516</v>
      </c>
      <c r="AX12" s="65">
        <f t="shared" si="9"/>
        <v>24305086.272576816</v>
      </c>
      <c r="AY12" s="65">
        <f t="shared" si="9"/>
        <v>24464147.351991456</v>
      </c>
      <c r="AZ12" s="65">
        <f t="shared" si="9"/>
        <v>24615255.37743536</v>
      </c>
      <c r="BA12" s="65">
        <f t="shared" si="9"/>
        <v>24758808.001607068</v>
      </c>
      <c r="BB12" s="65">
        <f t="shared" si="9"/>
        <v>24895182.994570196</v>
      </c>
      <c r="BC12" s="65">
        <f t="shared" si="9"/>
        <v>25024739.237885166</v>
      </c>
      <c r="BD12" s="65">
        <f t="shared" si="9"/>
        <v>25147817.66903438</v>
      </c>
      <c r="BE12" s="65">
        <f t="shared" si="9"/>
        <v>25264742.178626139</v>
      </c>
      <c r="BF12" s="65">
        <f t="shared" si="9"/>
        <v>25375820.462738317</v>
      </c>
      <c r="BG12" s="65">
        <f t="shared" si="9"/>
        <v>25481344.832644876</v>
      </c>
      <c r="BH12" s="65">
        <f t="shared" si="9"/>
        <v>25581592.984056111</v>
      </c>
      <c r="BI12" s="65">
        <f t="shared" si="9"/>
        <v>25676828.727896784</v>
      </c>
      <c r="BJ12" s="65">
        <f t="shared" si="9"/>
        <v>25767302.684545431</v>
      </c>
      <c r="BK12" s="65">
        <f t="shared" si="9"/>
        <v>25853252.943361629</v>
      </c>
      <c r="BL12" s="65">
        <f t="shared" si="9"/>
        <v>25934905.689237032</v>
      </c>
      <c r="BM12" s="65">
        <f t="shared" si="9"/>
        <v>26012475.797818657</v>
      </c>
      <c r="BN12" s="65">
        <f t="shared" si="9"/>
        <v>26086167.4009712</v>
      </c>
      <c r="BO12" s="65">
        <f t="shared" si="9"/>
        <v>26156174.423966125</v>
      </c>
      <c r="BP12" s="65">
        <f t="shared" si="9"/>
        <v>26222681.095811289</v>
      </c>
      <c r="BQ12" s="65">
        <f t="shared" si="2"/>
        <v>1152045350.8317592</v>
      </c>
      <c r="BR12" s="162" t="s">
        <v>121</v>
      </c>
      <c r="BS12" s="163"/>
      <c r="BT12" s="164">
        <f t="shared" ref="BT12:BT17" si="10">SUM(G12:R12)</f>
        <v>90298017.641687661</v>
      </c>
      <c r="BU12" s="164">
        <f t="shared" ref="BU12:BU17" si="11">SUM(T12:AE12)</f>
        <v>200399094.356399</v>
      </c>
      <c r="BV12" s="164">
        <f t="shared" ref="BV12:BV17" si="12">SUM(AG12:AR12)</f>
        <v>259893321.82171115</v>
      </c>
      <c r="BW12" s="164">
        <f t="shared" ref="BW12:BW17" si="13">SUM(AS12:BD12)</f>
        <v>292041627.79028809</v>
      </c>
      <c r="BX12" s="164">
        <f t="shared" ref="BX12:BX17" si="14">SUM(BE12:BP12)</f>
        <v>309413289.22167361</v>
      </c>
      <c r="BY12" s="66"/>
    </row>
    <row r="13" spans="2:78" s="72" customFormat="1" x14ac:dyDescent="0.3">
      <c r="D13" s="138" t="s">
        <v>168</v>
      </c>
      <c r="F13" s="191"/>
      <c r="G13" s="192">
        <f t="shared" ref="G13:R13" si="15">G6*3.6</f>
        <v>56880</v>
      </c>
      <c r="H13" s="192">
        <f t="shared" si="15"/>
        <v>56880</v>
      </c>
      <c r="I13" s="192">
        <f t="shared" si="15"/>
        <v>56880</v>
      </c>
      <c r="J13" s="192">
        <f t="shared" si="15"/>
        <v>56880</v>
      </c>
      <c r="K13" s="192">
        <f t="shared" si="15"/>
        <v>56880</v>
      </c>
      <c r="L13" s="192">
        <f t="shared" si="15"/>
        <v>56880</v>
      </c>
      <c r="M13" s="192">
        <f t="shared" si="15"/>
        <v>56880</v>
      </c>
      <c r="N13" s="192">
        <f t="shared" si="15"/>
        <v>56880</v>
      </c>
      <c r="O13" s="192">
        <f t="shared" si="15"/>
        <v>56880</v>
      </c>
      <c r="P13" s="192">
        <f t="shared" si="15"/>
        <v>56880</v>
      </c>
      <c r="Q13" s="192">
        <f t="shared" si="15"/>
        <v>56880</v>
      </c>
      <c r="R13" s="192">
        <f t="shared" si="15"/>
        <v>56880</v>
      </c>
      <c r="S13" s="204">
        <f t="shared" ref="S13:S18" si="16">SUM(G13:R13)</f>
        <v>682560</v>
      </c>
      <c r="T13" s="233">
        <f t="shared" ref="T13:AE13" si="17">T6*3.6</f>
        <v>56880</v>
      </c>
      <c r="U13" s="192">
        <f t="shared" si="17"/>
        <v>56880</v>
      </c>
      <c r="V13" s="192">
        <f t="shared" si="17"/>
        <v>56880</v>
      </c>
      <c r="W13" s="192">
        <f t="shared" si="17"/>
        <v>56880</v>
      </c>
      <c r="X13" s="192">
        <f t="shared" si="17"/>
        <v>56880</v>
      </c>
      <c r="Y13" s="192">
        <f t="shared" si="17"/>
        <v>56880</v>
      </c>
      <c r="Z13" s="192">
        <f t="shared" si="17"/>
        <v>56880</v>
      </c>
      <c r="AA13" s="192">
        <f t="shared" si="17"/>
        <v>56880</v>
      </c>
      <c r="AB13" s="192">
        <f t="shared" si="17"/>
        <v>56880</v>
      </c>
      <c r="AC13" s="192">
        <f t="shared" si="17"/>
        <v>56880</v>
      </c>
      <c r="AD13" s="192">
        <f t="shared" si="17"/>
        <v>56880</v>
      </c>
      <c r="AE13" s="192">
        <f t="shared" si="17"/>
        <v>56880</v>
      </c>
      <c r="AF13" s="234">
        <f t="shared" ref="AF13:AF18" si="18">SUM(T13:AE13)</f>
        <v>682560</v>
      </c>
      <c r="AG13" s="74">
        <f t="shared" ref="AG13:BP13" si="19">AG6*3.6</f>
        <v>56880</v>
      </c>
      <c r="AH13" s="74">
        <f t="shared" si="19"/>
        <v>56880</v>
      </c>
      <c r="AI13" s="74">
        <f t="shared" si="19"/>
        <v>56880</v>
      </c>
      <c r="AJ13" s="74">
        <f t="shared" si="19"/>
        <v>56880</v>
      </c>
      <c r="AK13" s="74">
        <f t="shared" si="19"/>
        <v>56880</v>
      </c>
      <c r="AL13" s="74">
        <f t="shared" si="19"/>
        <v>56880</v>
      </c>
      <c r="AM13" s="74">
        <f t="shared" si="19"/>
        <v>56880</v>
      </c>
      <c r="AN13" s="74">
        <f t="shared" si="19"/>
        <v>56880</v>
      </c>
      <c r="AO13" s="74">
        <f t="shared" si="19"/>
        <v>56880</v>
      </c>
      <c r="AP13" s="74">
        <f t="shared" si="19"/>
        <v>56880</v>
      </c>
      <c r="AQ13" s="74">
        <f t="shared" si="19"/>
        <v>56880</v>
      </c>
      <c r="AR13" s="74">
        <f t="shared" si="19"/>
        <v>56880</v>
      </c>
      <c r="AS13" s="74">
        <f t="shared" si="19"/>
        <v>56880</v>
      </c>
      <c r="AT13" s="74">
        <f t="shared" si="19"/>
        <v>56880</v>
      </c>
      <c r="AU13" s="74">
        <f t="shared" si="19"/>
        <v>56880</v>
      </c>
      <c r="AV13" s="74">
        <f t="shared" si="19"/>
        <v>56880</v>
      </c>
      <c r="AW13" s="74">
        <f t="shared" si="19"/>
        <v>56880</v>
      </c>
      <c r="AX13" s="74">
        <f t="shared" si="19"/>
        <v>56880</v>
      </c>
      <c r="AY13" s="74">
        <f t="shared" si="19"/>
        <v>56880</v>
      </c>
      <c r="AZ13" s="74">
        <f t="shared" si="19"/>
        <v>56880</v>
      </c>
      <c r="BA13" s="74">
        <f t="shared" si="19"/>
        <v>56880</v>
      </c>
      <c r="BB13" s="74">
        <f t="shared" si="19"/>
        <v>56880</v>
      </c>
      <c r="BC13" s="74">
        <f t="shared" si="19"/>
        <v>56880</v>
      </c>
      <c r="BD13" s="74">
        <f t="shared" si="19"/>
        <v>56880</v>
      </c>
      <c r="BE13" s="74">
        <f t="shared" si="19"/>
        <v>56880</v>
      </c>
      <c r="BF13" s="74">
        <f t="shared" si="19"/>
        <v>56880</v>
      </c>
      <c r="BG13" s="74">
        <f t="shared" si="19"/>
        <v>56880</v>
      </c>
      <c r="BH13" s="74">
        <f t="shared" si="19"/>
        <v>56880</v>
      </c>
      <c r="BI13" s="74">
        <f t="shared" si="19"/>
        <v>56880</v>
      </c>
      <c r="BJ13" s="74">
        <f t="shared" si="19"/>
        <v>56880</v>
      </c>
      <c r="BK13" s="74">
        <f t="shared" si="19"/>
        <v>56880</v>
      </c>
      <c r="BL13" s="74">
        <f t="shared" si="19"/>
        <v>56880</v>
      </c>
      <c r="BM13" s="74">
        <f t="shared" si="19"/>
        <v>56880</v>
      </c>
      <c r="BN13" s="74">
        <f t="shared" si="19"/>
        <v>56880</v>
      </c>
      <c r="BO13" s="74">
        <f t="shared" si="19"/>
        <v>56880</v>
      </c>
      <c r="BP13" s="74">
        <f t="shared" si="19"/>
        <v>56880</v>
      </c>
      <c r="BQ13" s="65">
        <f t="shared" si="2"/>
        <v>3412800</v>
      </c>
      <c r="BR13" s="165" t="s">
        <v>119</v>
      </c>
      <c r="BS13" s="165"/>
      <c r="BT13" s="166">
        <f t="shared" si="10"/>
        <v>682560</v>
      </c>
      <c r="BU13" s="166">
        <f t="shared" si="11"/>
        <v>682560</v>
      </c>
      <c r="BV13" s="166">
        <f t="shared" si="12"/>
        <v>682560</v>
      </c>
      <c r="BW13" s="166">
        <f t="shared" si="13"/>
        <v>682560</v>
      </c>
      <c r="BX13" s="166">
        <f t="shared" si="14"/>
        <v>682560</v>
      </c>
      <c r="BY13" s="75"/>
    </row>
    <row r="14" spans="2:78" s="72" customFormat="1" x14ac:dyDescent="0.3">
      <c r="D14" s="138" t="s">
        <v>120</v>
      </c>
      <c r="F14" s="193"/>
      <c r="G14" s="74">
        <f t="shared" ref="G14:R14" si="20">G7*4.5</f>
        <v>900</v>
      </c>
      <c r="H14" s="74">
        <f t="shared" si="20"/>
        <v>900</v>
      </c>
      <c r="I14" s="74">
        <f t="shared" si="20"/>
        <v>900</v>
      </c>
      <c r="J14" s="74">
        <f t="shared" si="20"/>
        <v>900</v>
      </c>
      <c r="K14" s="74">
        <f t="shared" si="20"/>
        <v>900</v>
      </c>
      <c r="L14" s="74">
        <f t="shared" si="20"/>
        <v>900</v>
      </c>
      <c r="M14" s="74">
        <f t="shared" si="20"/>
        <v>900</v>
      </c>
      <c r="N14" s="74">
        <f t="shared" si="20"/>
        <v>900</v>
      </c>
      <c r="O14" s="74">
        <f t="shared" si="20"/>
        <v>900</v>
      </c>
      <c r="P14" s="74">
        <f t="shared" si="20"/>
        <v>900</v>
      </c>
      <c r="Q14" s="74">
        <f t="shared" si="20"/>
        <v>900</v>
      </c>
      <c r="R14" s="74">
        <f t="shared" si="20"/>
        <v>900</v>
      </c>
      <c r="S14" s="205">
        <f t="shared" si="16"/>
        <v>10800</v>
      </c>
      <c r="T14" s="235">
        <f t="shared" ref="T14:AE14" si="21">T7*4.5</f>
        <v>900</v>
      </c>
      <c r="U14" s="74">
        <f t="shared" si="21"/>
        <v>900</v>
      </c>
      <c r="V14" s="74">
        <f t="shared" si="21"/>
        <v>900</v>
      </c>
      <c r="W14" s="74">
        <f t="shared" si="21"/>
        <v>900</v>
      </c>
      <c r="X14" s="74">
        <f t="shared" si="21"/>
        <v>900</v>
      </c>
      <c r="Y14" s="74">
        <f t="shared" si="21"/>
        <v>900</v>
      </c>
      <c r="Z14" s="74">
        <f t="shared" si="21"/>
        <v>900</v>
      </c>
      <c r="AA14" s="74">
        <f t="shared" si="21"/>
        <v>900</v>
      </c>
      <c r="AB14" s="74">
        <f t="shared" si="21"/>
        <v>900</v>
      </c>
      <c r="AC14" s="74">
        <f t="shared" si="21"/>
        <v>900</v>
      </c>
      <c r="AD14" s="74">
        <f t="shared" si="21"/>
        <v>900</v>
      </c>
      <c r="AE14" s="74">
        <f t="shared" si="21"/>
        <v>900</v>
      </c>
      <c r="AF14" s="237">
        <f t="shared" si="18"/>
        <v>10800</v>
      </c>
      <c r="AG14" s="74">
        <f t="shared" ref="AG14:BP14" si="22">AG7*4.5</f>
        <v>900</v>
      </c>
      <c r="AH14" s="74">
        <f t="shared" si="22"/>
        <v>900</v>
      </c>
      <c r="AI14" s="74">
        <f t="shared" si="22"/>
        <v>900</v>
      </c>
      <c r="AJ14" s="74">
        <f t="shared" si="22"/>
        <v>900</v>
      </c>
      <c r="AK14" s="74">
        <f t="shared" si="22"/>
        <v>900</v>
      </c>
      <c r="AL14" s="74">
        <f t="shared" si="22"/>
        <v>900</v>
      </c>
      <c r="AM14" s="74">
        <f t="shared" si="22"/>
        <v>900</v>
      </c>
      <c r="AN14" s="74">
        <f t="shared" si="22"/>
        <v>900</v>
      </c>
      <c r="AO14" s="74">
        <f t="shared" si="22"/>
        <v>900</v>
      </c>
      <c r="AP14" s="74">
        <f t="shared" si="22"/>
        <v>900</v>
      </c>
      <c r="AQ14" s="74">
        <f t="shared" si="22"/>
        <v>900</v>
      </c>
      <c r="AR14" s="74">
        <f t="shared" si="22"/>
        <v>900</v>
      </c>
      <c r="AS14" s="74">
        <f t="shared" si="22"/>
        <v>900</v>
      </c>
      <c r="AT14" s="74">
        <f t="shared" si="22"/>
        <v>900</v>
      </c>
      <c r="AU14" s="74">
        <f t="shared" si="22"/>
        <v>900</v>
      </c>
      <c r="AV14" s="74">
        <f t="shared" si="22"/>
        <v>900</v>
      </c>
      <c r="AW14" s="74">
        <f t="shared" si="22"/>
        <v>900</v>
      </c>
      <c r="AX14" s="74">
        <f t="shared" si="22"/>
        <v>900</v>
      </c>
      <c r="AY14" s="74">
        <f t="shared" si="22"/>
        <v>900</v>
      </c>
      <c r="AZ14" s="74">
        <f t="shared" si="22"/>
        <v>900</v>
      </c>
      <c r="BA14" s="74">
        <f t="shared" si="22"/>
        <v>900</v>
      </c>
      <c r="BB14" s="74">
        <f t="shared" si="22"/>
        <v>900</v>
      </c>
      <c r="BC14" s="74">
        <f t="shared" si="22"/>
        <v>900</v>
      </c>
      <c r="BD14" s="74">
        <f t="shared" si="22"/>
        <v>900</v>
      </c>
      <c r="BE14" s="74">
        <f t="shared" si="22"/>
        <v>900</v>
      </c>
      <c r="BF14" s="74">
        <f t="shared" si="22"/>
        <v>900</v>
      </c>
      <c r="BG14" s="74">
        <f t="shared" si="22"/>
        <v>900</v>
      </c>
      <c r="BH14" s="74">
        <f t="shared" si="22"/>
        <v>900</v>
      </c>
      <c r="BI14" s="74">
        <f t="shared" si="22"/>
        <v>900</v>
      </c>
      <c r="BJ14" s="74">
        <f t="shared" si="22"/>
        <v>900</v>
      </c>
      <c r="BK14" s="74">
        <f t="shared" si="22"/>
        <v>900</v>
      </c>
      <c r="BL14" s="74">
        <f t="shared" si="22"/>
        <v>900</v>
      </c>
      <c r="BM14" s="74">
        <f t="shared" si="22"/>
        <v>900</v>
      </c>
      <c r="BN14" s="74">
        <f t="shared" si="22"/>
        <v>900</v>
      </c>
      <c r="BO14" s="74">
        <f t="shared" si="22"/>
        <v>900</v>
      </c>
      <c r="BP14" s="74">
        <f t="shared" si="22"/>
        <v>900</v>
      </c>
      <c r="BQ14" s="65">
        <f t="shared" si="2"/>
        <v>54000</v>
      </c>
      <c r="BR14" s="165" t="s">
        <v>120</v>
      </c>
      <c r="BS14" s="165"/>
      <c r="BT14" s="166">
        <f t="shared" si="10"/>
        <v>10800</v>
      </c>
      <c r="BU14" s="166">
        <f t="shared" si="11"/>
        <v>10800</v>
      </c>
      <c r="BV14" s="166">
        <f t="shared" si="12"/>
        <v>10800</v>
      </c>
      <c r="BW14" s="166">
        <f t="shared" si="13"/>
        <v>10800</v>
      </c>
      <c r="BX14" s="166">
        <f t="shared" si="14"/>
        <v>10800</v>
      </c>
      <c r="BY14" s="75"/>
    </row>
    <row r="15" spans="2:78" s="76" customFormat="1" x14ac:dyDescent="0.3">
      <c r="D15" s="138" t="s">
        <v>169</v>
      </c>
      <c r="F15" s="194"/>
      <c r="G15" s="78">
        <f>(G10*0.05)*15.22</f>
        <v>12176</v>
      </c>
      <c r="H15" s="78">
        <f t="shared" ref="H15:BP15" si="23">(H10*0.05)*15.22</f>
        <v>23743.200000000001</v>
      </c>
      <c r="I15" s="78">
        <f t="shared" si="23"/>
        <v>34732.04</v>
      </c>
      <c r="J15" s="78">
        <f t="shared" si="23"/>
        <v>45171.438000000002</v>
      </c>
      <c r="K15" s="78">
        <f t="shared" si="23"/>
        <v>55088.866100000014</v>
      </c>
      <c r="L15" s="78">
        <f t="shared" si="23"/>
        <v>64510.422795000013</v>
      </c>
      <c r="M15" s="78">
        <f t="shared" si="23"/>
        <v>73460.901655249996</v>
      </c>
      <c r="N15" s="78">
        <f t="shared" si="23"/>
        <v>81963.856572487522</v>
      </c>
      <c r="O15" s="78">
        <f t="shared" si="23"/>
        <v>90041.663743863144</v>
      </c>
      <c r="P15" s="78">
        <f t="shared" si="23"/>
        <v>97715.580556669971</v>
      </c>
      <c r="Q15" s="78">
        <f t="shared" si="23"/>
        <v>105005.80152883647</v>
      </c>
      <c r="R15" s="78">
        <f t="shared" si="23"/>
        <v>111931.51145239465</v>
      </c>
      <c r="S15" s="205">
        <f t="shared" si="16"/>
        <v>795541.28240450181</v>
      </c>
      <c r="T15" s="236">
        <f t="shared" si="23"/>
        <v>118510.93587977493</v>
      </c>
      <c r="U15" s="78">
        <f t="shared" si="23"/>
        <v>124761.38908578618</v>
      </c>
      <c r="V15" s="78">
        <f t="shared" si="23"/>
        <v>130699.3196314969</v>
      </c>
      <c r="W15" s="78">
        <f t="shared" si="23"/>
        <v>136340.35364992204</v>
      </c>
      <c r="X15" s="78">
        <f t="shared" si="23"/>
        <v>141699.33596742596</v>
      </c>
      <c r="Y15" s="78">
        <f t="shared" si="23"/>
        <v>146790.36916905467</v>
      </c>
      <c r="Z15" s="78">
        <f t="shared" si="23"/>
        <v>151626.85071060192</v>
      </c>
      <c r="AA15" s="78">
        <f t="shared" si="23"/>
        <v>156221.50817507182</v>
      </c>
      <c r="AB15" s="78">
        <f t="shared" si="23"/>
        <v>160586.43276631823</v>
      </c>
      <c r="AC15" s="78">
        <f t="shared" si="23"/>
        <v>164733.11112800235</v>
      </c>
      <c r="AD15" s="78">
        <f t="shared" si="23"/>
        <v>168672.45557160222</v>
      </c>
      <c r="AE15" s="78">
        <f t="shared" si="23"/>
        <v>172414.8327930221</v>
      </c>
      <c r="AF15" s="237">
        <f t="shared" si="18"/>
        <v>1773056.8945280793</v>
      </c>
      <c r="AG15" s="78">
        <f t="shared" si="23"/>
        <v>175970.09115337097</v>
      </c>
      <c r="AH15" s="78">
        <f t="shared" si="23"/>
        <v>179347.58659570248</v>
      </c>
      <c r="AI15" s="78">
        <f t="shared" si="23"/>
        <v>182556.20726591733</v>
      </c>
      <c r="AJ15" s="78">
        <f t="shared" si="23"/>
        <v>185604.39690262146</v>
      </c>
      <c r="AK15" s="78">
        <f t="shared" si="23"/>
        <v>188500.17705749039</v>
      </c>
      <c r="AL15" s="78">
        <f t="shared" si="23"/>
        <v>191251.16820461588</v>
      </c>
      <c r="AM15" s="78">
        <f t="shared" si="23"/>
        <v>193864.60979438509</v>
      </c>
      <c r="AN15" s="78">
        <f t="shared" si="23"/>
        <v>196347.37930466584</v>
      </c>
      <c r="AO15" s="78">
        <f t="shared" si="23"/>
        <v>198706.01033943257</v>
      </c>
      <c r="AP15" s="78">
        <f t="shared" si="23"/>
        <v>200946.70982246089</v>
      </c>
      <c r="AQ15" s="78">
        <f t="shared" si="23"/>
        <v>203075.37433133784</v>
      </c>
      <c r="AR15" s="78">
        <f t="shared" si="23"/>
        <v>205097.60561477093</v>
      </c>
      <c r="AS15" s="78">
        <f t="shared" si="23"/>
        <v>207018.72533403241</v>
      </c>
      <c r="AT15" s="78">
        <f t="shared" si="23"/>
        <v>208843.78906733077</v>
      </c>
      <c r="AU15" s="78">
        <f t="shared" si="23"/>
        <v>210577.59961396427</v>
      </c>
      <c r="AV15" s="78">
        <f t="shared" si="23"/>
        <v>212224.71963326604</v>
      </c>
      <c r="AW15" s="78">
        <f t="shared" si="23"/>
        <v>213789.48365160273</v>
      </c>
      <c r="AX15" s="78">
        <f t="shared" si="23"/>
        <v>215276.00946902263</v>
      </c>
      <c r="AY15" s="78">
        <f t="shared" si="23"/>
        <v>216688.20899557148</v>
      </c>
      <c r="AZ15" s="78">
        <f t="shared" si="23"/>
        <v>218029.79854579287</v>
      </c>
      <c r="BA15" s="78">
        <f t="shared" si="23"/>
        <v>219304.30861850322</v>
      </c>
      <c r="BB15" s="78">
        <f t="shared" si="23"/>
        <v>220515.09318757808</v>
      </c>
      <c r="BC15" s="78">
        <f t="shared" si="23"/>
        <v>221665.33852819918</v>
      </c>
      <c r="BD15" s="78">
        <f t="shared" si="23"/>
        <v>222758.07160178918</v>
      </c>
      <c r="BE15" s="78">
        <f t="shared" si="23"/>
        <v>223796.16802169976</v>
      </c>
      <c r="BF15" s="78">
        <f t="shared" si="23"/>
        <v>224782.35962061479</v>
      </c>
      <c r="BG15" s="78">
        <f t="shared" si="23"/>
        <v>225719.24163958404</v>
      </c>
      <c r="BH15" s="78">
        <f t="shared" si="23"/>
        <v>226609.27955760484</v>
      </c>
      <c r="BI15" s="78">
        <f t="shared" si="23"/>
        <v>227454.81557972464</v>
      </c>
      <c r="BJ15" s="78">
        <f t="shared" si="23"/>
        <v>228258.07480073842</v>
      </c>
      <c r="BK15" s="78">
        <f t="shared" si="23"/>
        <v>229021.17106070148</v>
      </c>
      <c r="BL15" s="78">
        <f t="shared" si="23"/>
        <v>229746.1125076664</v>
      </c>
      <c r="BM15" s="78">
        <f t="shared" si="23"/>
        <v>230434.80688228307</v>
      </c>
      <c r="BN15" s="78">
        <f t="shared" si="23"/>
        <v>231089.06653816893</v>
      </c>
      <c r="BO15" s="78">
        <f t="shared" si="23"/>
        <v>231710.6132112605</v>
      </c>
      <c r="BP15" s="78">
        <f t="shared" si="23"/>
        <v>232301.08255069744</v>
      </c>
      <c r="BQ15" s="65">
        <f t="shared" si="2"/>
        <v>10197479.431536751</v>
      </c>
      <c r="BR15" s="165" t="s">
        <v>138</v>
      </c>
      <c r="BS15" s="167"/>
      <c r="BT15" s="166">
        <f t="shared" si="10"/>
        <v>795541.28240450181</v>
      </c>
      <c r="BU15" s="166">
        <f t="shared" si="11"/>
        <v>1773056.8945280793</v>
      </c>
      <c r="BV15" s="166">
        <f t="shared" si="12"/>
        <v>2301267.3163867719</v>
      </c>
      <c r="BW15" s="166">
        <f t="shared" si="13"/>
        <v>2586691.1462466526</v>
      </c>
      <c r="BX15" s="166">
        <f t="shared" si="14"/>
        <v>2740922.7919707447</v>
      </c>
      <c r="BY15" s="79"/>
    </row>
    <row r="16" spans="2:78" s="76" customFormat="1" x14ac:dyDescent="0.3">
      <c r="D16" s="138" t="s">
        <v>143</v>
      </c>
      <c r="F16" s="194"/>
      <c r="G16" s="78">
        <f>(14.49*$H$2)*(G10*0.01)</f>
        <v>39876.479999999996</v>
      </c>
      <c r="H16" s="78">
        <f t="shared" ref="H16:BP16" si="24">(14.49*$H$2)*(H10*0.01)</f>
        <v>77759.135999999999</v>
      </c>
      <c r="I16" s="78">
        <f t="shared" si="24"/>
        <v>113747.65919999999</v>
      </c>
      <c r="J16" s="78">
        <f t="shared" si="24"/>
        <v>147936.75623999999</v>
      </c>
      <c r="K16" s="78">
        <f t="shared" si="24"/>
        <v>180416.39842800001</v>
      </c>
      <c r="L16" s="78">
        <f t="shared" si="24"/>
        <v>211272.05850659998</v>
      </c>
      <c r="M16" s="78">
        <f t="shared" si="24"/>
        <v>240584.93558126999</v>
      </c>
      <c r="N16" s="78">
        <f t="shared" si="24"/>
        <v>268432.16880220652</v>
      </c>
      <c r="O16" s="78">
        <f t="shared" si="24"/>
        <v>294887.04036209622</v>
      </c>
      <c r="P16" s="78">
        <f t="shared" si="24"/>
        <v>320019.16834399133</v>
      </c>
      <c r="Q16" s="78">
        <f t="shared" si="24"/>
        <v>343894.68992679182</v>
      </c>
      <c r="R16" s="78">
        <f t="shared" si="24"/>
        <v>366576.43543045223</v>
      </c>
      <c r="S16" s="205">
        <f t="shared" si="16"/>
        <v>2605402.9268214079</v>
      </c>
      <c r="T16" s="236">
        <f t="shared" si="24"/>
        <v>388124.09365892963</v>
      </c>
      <c r="U16" s="78">
        <f t="shared" si="24"/>
        <v>408594.36897598312</v>
      </c>
      <c r="V16" s="78">
        <f t="shared" si="24"/>
        <v>428041.130527184</v>
      </c>
      <c r="W16" s="78">
        <f t="shared" si="24"/>
        <v>446515.55400082481</v>
      </c>
      <c r="X16" s="78">
        <f t="shared" si="24"/>
        <v>464066.2563007836</v>
      </c>
      <c r="Y16" s="78">
        <f t="shared" si="24"/>
        <v>480739.4234857444</v>
      </c>
      <c r="Z16" s="78">
        <f t="shared" si="24"/>
        <v>496578.93231145717</v>
      </c>
      <c r="AA16" s="78">
        <f t="shared" si="24"/>
        <v>511626.46569588431</v>
      </c>
      <c r="AB16" s="78">
        <f t="shared" si="24"/>
        <v>525921.62241109007</v>
      </c>
      <c r="AC16" s="78">
        <f t="shared" si="24"/>
        <v>539502.02129053557</v>
      </c>
      <c r="AD16" s="78">
        <f t="shared" si="24"/>
        <v>552403.40022600873</v>
      </c>
      <c r="AE16" s="78">
        <f t="shared" si="24"/>
        <v>564659.71021470835</v>
      </c>
      <c r="AF16" s="237">
        <f t="shared" si="18"/>
        <v>5806772.9790991331</v>
      </c>
      <c r="AG16" s="78">
        <f t="shared" si="24"/>
        <v>576303.20470397291</v>
      </c>
      <c r="AH16" s="78">
        <f t="shared" si="24"/>
        <v>587364.52446877433</v>
      </c>
      <c r="AI16" s="78">
        <f t="shared" si="24"/>
        <v>597872.77824533568</v>
      </c>
      <c r="AJ16" s="78">
        <f t="shared" si="24"/>
        <v>607855.61933306884</v>
      </c>
      <c r="AK16" s="78">
        <f t="shared" si="24"/>
        <v>617339.31836641533</v>
      </c>
      <c r="AL16" s="78">
        <f t="shared" si="24"/>
        <v>626348.83244809462</v>
      </c>
      <c r="AM16" s="78">
        <f t="shared" si="24"/>
        <v>634907.87082568987</v>
      </c>
      <c r="AN16" s="78">
        <f t="shared" si="24"/>
        <v>643038.95728440548</v>
      </c>
      <c r="AO16" s="78">
        <f t="shared" si="24"/>
        <v>650763.48942018521</v>
      </c>
      <c r="AP16" s="78">
        <f t="shared" si="24"/>
        <v>658101.79494917579</v>
      </c>
      <c r="AQ16" s="78">
        <f t="shared" si="24"/>
        <v>665073.18520171696</v>
      </c>
      <c r="AR16" s="78">
        <f t="shared" si="24"/>
        <v>671696.00594163104</v>
      </c>
      <c r="AS16" s="78">
        <f t="shared" si="24"/>
        <v>677987.68564454955</v>
      </c>
      <c r="AT16" s="78">
        <f t="shared" si="24"/>
        <v>683964.78136232204</v>
      </c>
      <c r="AU16" s="78">
        <f t="shared" si="24"/>
        <v>689643.02229420608</v>
      </c>
      <c r="AV16" s="78">
        <f t="shared" si="24"/>
        <v>695037.35117949569</v>
      </c>
      <c r="AW16" s="78">
        <f t="shared" si="24"/>
        <v>700161.9636205209</v>
      </c>
      <c r="AX16" s="78">
        <f t="shared" si="24"/>
        <v>705030.34543949482</v>
      </c>
      <c r="AY16" s="78">
        <f t="shared" si="24"/>
        <v>709655.30816751998</v>
      </c>
      <c r="AZ16" s="78">
        <f t="shared" si="24"/>
        <v>714049.02275914396</v>
      </c>
      <c r="BA16" s="78">
        <f t="shared" si="24"/>
        <v>718223.05162118666</v>
      </c>
      <c r="BB16" s="78">
        <f t="shared" si="24"/>
        <v>722188.37904012739</v>
      </c>
      <c r="BC16" s="78">
        <f t="shared" si="24"/>
        <v>725955.4400881211</v>
      </c>
      <c r="BD16" s="78">
        <f t="shared" si="24"/>
        <v>729534.148083715</v>
      </c>
      <c r="BE16" s="78">
        <f t="shared" si="24"/>
        <v>732933.92067952931</v>
      </c>
      <c r="BF16" s="78">
        <f t="shared" si="24"/>
        <v>736163.70464555291</v>
      </c>
      <c r="BG16" s="78">
        <f t="shared" si="24"/>
        <v>739231.99941327528</v>
      </c>
      <c r="BH16" s="78">
        <f t="shared" si="24"/>
        <v>742146.87944261159</v>
      </c>
      <c r="BI16" s="78">
        <f t="shared" si="24"/>
        <v>744916.0154704809</v>
      </c>
      <c r="BJ16" s="78">
        <f t="shared" si="24"/>
        <v>747546.6946969569</v>
      </c>
      <c r="BK16" s="78">
        <f t="shared" si="24"/>
        <v>750045.83996210911</v>
      </c>
      <c r="BL16" s="78">
        <f t="shared" si="24"/>
        <v>752420.02796400362</v>
      </c>
      <c r="BM16" s="78">
        <f t="shared" si="24"/>
        <v>754675.50656580343</v>
      </c>
      <c r="BN16" s="78">
        <f t="shared" si="24"/>
        <v>756818.21123751323</v>
      </c>
      <c r="BO16" s="78">
        <f t="shared" si="24"/>
        <v>758853.78067563754</v>
      </c>
      <c r="BP16" s="78">
        <f t="shared" si="24"/>
        <v>760787.57164185576</v>
      </c>
      <c r="BQ16" s="65">
        <f t="shared" si="2"/>
        <v>33396812.13880473</v>
      </c>
      <c r="BR16" s="165" t="s">
        <v>143</v>
      </c>
      <c r="BS16" s="167"/>
      <c r="BT16" s="166">
        <f t="shared" si="10"/>
        <v>2605402.9268214079</v>
      </c>
      <c r="BU16" s="166">
        <f t="shared" si="11"/>
        <v>5806772.9790991331</v>
      </c>
      <c r="BV16" s="166">
        <f t="shared" si="12"/>
        <v>7536665.5811884664</v>
      </c>
      <c r="BW16" s="166">
        <f t="shared" si="13"/>
        <v>8471430.4993004035</v>
      </c>
      <c r="BX16" s="166">
        <f t="shared" si="14"/>
        <v>8976540.1523953304</v>
      </c>
      <c r="BY16" s="79"/>
    </row>
    <row r="17" spans="2:78" s="76" customFormat="1" x14ac:dyDescent="0.3">
      <c r="D17" s="138" t="s">
        <v>139</v>
      </c>
      <c r="F17" s="194"/>
      <c r="G17" s="78">
        <f>(G10*0.05)*20</f>
        <v>16000</v>
      </c>
      <c r="H17" s="78">
        <f t="shared" ref="H17:BP17" si="25">(H10*0.05)*20</f>
        <v>31200</v>
      </c>
      <c r="I17" s="78">
        <f t="shared" si="25"/>
        <v>45640</v>
      </c>
      <c r="J17" s="78">
        <f t="shared" si="25"/>
        <v>59358</v>
      </c>
      <c r="K17" s="78">
        <f t="shared" si="25"/>
        <v>72390.100000000006</v>
      </c>
      <c r="L17" s="78">
        <f t="shared" si="25"/>
        <v>84770.595000000016</v>
      </c>
      <c r="M17" s="78">
        <f t="shared" si="25"/>
        <v>96532.06525</v>
      </c>
      <c r="N17" s="78">
        <f t="shared" si="25"/>
        <v>107705.46198750002</v>
      </c>
      <c r="O17" s="78">
        <f t="shared" si="25"/>
        <v>118320.18888812501</v>
      </c>
      <c r="P17" s="78">
        <f t="shared" si="25"/>
        <v>128404.17944371875</v>
      </c>
      <c r="Q17" s="78">
        <f t="shared" si="25"/>
        <v>137983.97047153281</v>
      </c>
      <c r="R17" s="78">
        <f t="shared" si="25"/>
        <v>147084.77194795618</v>
      </c>
      <c r="S17" s="205">
        <f t="shared" si="16"/>
        <v>1045389.3329888327</v>
      </c>
      <c r="T17" s="236">
        <f t="shared" si="25"/>
        <v>155730.53335055837</v>
      </c>
      <c r="U17" s="78">
        <f t="shared" si="25"/>
        <v>163944.00668303046</v>
      </c>
      <c r="V17" s="78">
        <f t="shared" si="25"/>
        <v>171746.80634887895</v>
      </c>
      <c r="W17" s="78">
        <f t="shared" si="25"/>
        <v>179159.466031435</v>
      </c>
      <c r="X17" s="78">
        <f t="shared" si="25"/>
        <v>186201.49272986327</v>
      </c>
      <c r="Y17" s="78">
        <f t="shared" si="25"/>
        <v>192891.41809337013</v>
      </c>
      <c r="Z17" s="78">
        <f t="shared" si="25"/>
        <v>199246.84718870162</v>
      </c>
      <c r="AA17" s="78">
        <f t="shared" si="25"/>
        <v>205284.50482926652</v>
      </c>
      <c r="AB17" s="78">
        <f t="shared" si="25"/>
        <v>211020.2795878032</v>
      </c>
      <c r="AC17" s="78">
        <f t="shared" si="25"/>
        <v>216469.26560841303</v>
      </c>
      <c r="AD17" s="78">
        <f t="shared" si="25"/>
        <v>221645.80232799239</v>
      </c>
      <c r="AE17" s="78">
        <f t="shared" si="25"/>
        <v>226563.51221159275</v>
      </c>
      <c r="AF17" s="237">
        <f t="shared" si="18"/>
        <v>2329903.9349909057</v>
      </c>
      <c r="AG17" s="78">
        <f t="shared" si="25"/>
        <v>231235.33660101311</v>
      </c>
      <c r="AH17" s="78">
        <f t="shared" si="25"/>
        <v>235673.56977096249</v>
      </c>
      <c r="AI17" s="78">
        <f t="shared" si="25"/>
        <v>239889.89128241435</v>
      </c>
      <c r="AJ17" s="78">
        <f t="shared" si="25"/>
        <v>243895.39671829363</v>
      </c>
      <c r="AK17" s="78">
        <f t="shared" si="25"/>
        <v>247700.62688237897</v>
      </c>
      <c r="AL17" s="78">
        <f t="shared" si="25"/>
        <v>251315.59553826001</v>
      </c>
      <c r="AM17" s="78">
        <f t="shared" si="25"/>
        <v>254749.81576134701</v>
      </c>
      <c r="AN17" s="78">
        <f t="shared" si="25"/>
        <v>258012.32497327967</v>
      </c>
      <c r="AO17" s="78">
        <f t="shared" si="25"/>
        <v>261111.70872461572</v>
      </c>
      <c r="AP17" s="78">
        <f t="shared" si="25"/>
        <v>264056.12328838487</v>
      </c>
      <c r="AQ17" s="78">
        <f t="shared" si="25"/>
        <v>266853.31712396559</v>
      </c>
      <c r="AR17" s="78">
        <f t="shared" si="25"/>
        <v>269510.6512677673</v>
      </c>
      <c r="AS17" s="78">
        <f t="shared" si="25"/>
        <v>272035.11870437895</v>
      </c>
      <c r="AT17" s="78">
        <f t="shared" si="25"/>
        <v>274433.36276916001</v>
      </c>
      <c r="AU17" s="78">
        <f t="shared" si="25"/>
        <v>276711.69463070203</v>
      </c>
      <c r="AV17" s="78">
        <f t="shared" si="25"/>
        <v>278876.10989916691</v>
      </c>
      <c r="AW17" s="78">
        <f t="shared" si="25"/>
        <v>280932.30440420855</v>
      </c>
      <c r="AX17" s="78">
        <f t="shared" si="25"/>
        <v>282885.68918399815</v>
      </c>
      <c r="AY17" s="78">
        <f t="shared" si="25"/>
        <v>284741.40472479822</v>
      </c>
      <c r="AZ17" s="78">
        <f t="shared" si="25"/>
        <v>286504.33448855829</v>
      </c>
      <c r="BA17" s="78">
        <f t="shared" si="25"/>
        <v>288179.11776413035</v>
      </c>
      <c r="BB17" s="78">
        <f t="shared" si="25"/>
        <v>289770.16187592386</v>
      </c>
      <c r="BC17" s="78">
        <f t="shared" si="25"/>
        <v>291281.65378212766</v>
      </c>
      <c r="BD17" s="78">
        <f t="shared" si="25"/>
        <v>292717.57109302125</v>
      </c>
      <c r="BE17" s="78">
        <f t="shared" si="25"/>
        <v>294081.6925383702</v>
      </c>
      <c r="BF17" s="78">
        <f t="shared" si="25"/>
        <v>295377.60791145172</v>
      </c>
      <c r="BG17" s="78">
        <f t="shared" si="25"/>
        <v>296608.72751587915</v>
      </c>
      <c r="BH17" s="78">
        <f t="shared" si="25"/>
        <v>297778.2911400852</v>
      </c>
      <c r="BI17" s="78">
        <f t="shared" si="25"/>
        <v>298889.37658308097</v>
      </c>
      <c r="BJ17" s="78">
        <f t="shared" si="25"/>
        <v>299944.90775392693</v>
      </c>
      <c r="BK17" s="78">
        <f t="shared" si="25"/>
        <v>300947.66236623056</v>
      </c>
      <c r="BL17" s="78">
        <f t="shared" si="25"/>
        <v>301900.27924791904</v>
      </c>
      <c r="BM17" s="78">
        <f t="shared" si="25"/>
        <v>302805.26528552308</v>
      </c>
      <c r="BN17" s="78">
        <f t="shared" si="25"/>
        <v>303665.00202124694</v>
      </c>
      <c r="BO17" s="78">
        <f t="shared" si="25"/>
        <v>304481.75192018459</v>
      </c>
      <c r="BP17" s="78">
        <f t="shared" si="25"/>
        <v>305257.66432417533</v>
      </c>
      <c r="BQ17" s="65">
        <f t="shared" si="2"/>
        <v>13400104.377840672</v>
      </c>
      <c r="BR17" s="165" t="s">
        <v>139</v>
      </c>
      <c r="BS17" s="167"/>
      <c r="BT17" s="166">
        <f t="shared" si="10"/>
        <v>1045389.3329888327</v>
      </c>
      <c r="BU17" s="166">
        <f t="shared" si="11"/>
        <v>2329903.9349909057</v>
      </c>
      <c r="BV17" s="166">
        <f t="shared" si="12"/>
        <v>3024004.3579326826</v>
      </c>
      <c r="BW17" s="166">
        <f t="shared" si="13"/>
        <v>3399068.5233201743</v>
      </c>
      <c r="BX17" s="166">
        <f t="shared" si="14"/>
        <v>3601738.2286080737</v>
      </c>
      <c r="BY17" s="79"/>
    </row>
    <row r="18" spans="2:78" s="62" customFormat="1" ht="19.5" thickBot="1" x14ac:dyDescent="0.35">
      <c r="D18" s="63" t="s">
        <v>170</v>
      </c>
      <c r="F18" s="195">
        <v>100</v>
      </c>
      <c r="G18" s="196">
        <f>((((G10)*Packages!$E$5)*(Packages!$J$5)+(((G10)*Packages!$E$6)*Packages!$J$6)+(((G10)*Packages!$E$7)*Packages!$J$7)))+((((G10)*Packages!$E$8)*(Packages!$J$8)))</f>
        <v>1303373.9130434785</v>
      </c>
      <c r="H18" s="196">
        <f>((((H10)*Packages!$E$5)*(Packages!$J$5)+(((H10)*Packages!$E$6)*Packages!$J$6)+(((H10)*Packages!$E$7)*Packages!$J$7)))+((((H10)*Packages!$E$8)*(Packages!$J$8)))</f>
        <v>2541579.1304347832</v>
      </c>
      <c r="I18" s="196">
        <f>((((I10)*Packages!$E$5)*(Packages!$J$5)+(((I10)*Packages!$E$6)*Packages!$J$6)+(((I10)*Packages!$E$7)*Packages!$J$7)))+((((I10)*Packages!$E$8)*(Packages!$J$8)))</f>
        <v>3717874.086956522</v>
      </c>
      <c r="J18" s="196">
        <f>((((J10)*Packages!$E$5)*(Packages!$J$5)+(((J10)*Packages!$E$6)*Packages!$J$6)+(((J10)*Packages!$E$7)*Packages!$J$7)))+((((J10)*Packages!$E$8)*(Packages!$J$8)))</f>
        <v>4835354.2956521744</v>
      </c>
      <c r="K18" s="196">
        <f>((((K10)*Packages!$E$5)*(Packages!$J$5)+(((K10)*Packages!$E$6)*Packages!$J$6)+(((K10)*Packages!$E$7)*Packages!$J$7)))+((((K10)*Packages!$E$8)*(Packages!$J$8)))</f>
        <v>5896960.4939130442</v>
      </c>
      <c r="L18" s="196">
        <f>((((L10)*Packages!$E$5)*(Packages!$J$5)+(((L10)*Packages!$E$6)*Packages!$J$6)+(((L10)*Packages!$E$7)*Packages!$J$7)))+((((L10)*Packages!$E$8)*(Packages!$J$8)))</f>
        <v>6905486.3822608702</v>
      </c>
      <c r="M18" s="196">
        <f>((((M10)*Packages!$E$5)*(Packages!$J$5)+(((M10)*Packages!$E$6)*Packages!$J$6)+(((M10)*Packages!$E$7)*Packages!$J$7)))+((((M10)*Packages!$E$8)*(Packages!$J$8)))</f>
        <v>7863585.9761913046</v>
      </c>
      <c r="N18" s="196">
        <f>((((N10)*Packages!$E$5)*(Packages!$J$5)+(((N10)*Packages!$E$6)*Packages!$J$6)+(((N10)*Packages!$E$7)*Packages!$J$7)))+((((N10)*Packages!$E$8)*(Packages!$J$8)))</f>
        <v>8773780.5904252175</v>
      </c>
      <c r="O18" s="196">
        <f>((((O10)*Packages!$E$5)*(Packages!$J$5)+(((O10)*Packages!$E$6)*Packages!$J$6)+(((O10)*Packages!$E$7)*Packages!$J$7)))+((((O10)*Packages!$E$8)*(Packages!$J$8)))</f>
        <v>9638465.4739474375</v>
      </c>
      <c r="P18" s="196">
        <f>((((P10)*Packages!$E$5)*(Packages!$J$5)+(((P10)*Packages!$E$6)*Packages!$J$6)+(((P10)*Packages!$E$7)*Packages!$J$7)))+((((P10)*Packages!$E$8)*(Packages!$J$8)))</f>
        <v>10459916.113293543</v>
      </c>
      <c r="Q18" s="196">
        <f>((((Q10)*Packages!$E$5)*(Packages!$J$5)+(((Q10)*Packages!$E$6)*Packages!$J$6)+(((Q10)*Packages!$E$7)*Packages!$J$7)))+((((Q10)*Packages!$E$8)*(Packages!$J$8)))</f>
        <v>11240294.220672343</v>
      </c>
      <c r="R18" s="196">
        <f>((((R10)*Packages!$E$5)*(Packages!$J$5)+(((R10)*Packages!$E$6)*Packages!$J$6)+(((R10)*Packages!$E$7)*Packages!$J$7)))+((((R10)*Packages!$E$8)*(Packages!$J$8)))</f>
        <v>11981653.422682205</v>
      </c>
      <c r="S18" s="206">
        <f t="shared" si="16"/>
        <v>85158324.099472925</v>
      </c>
      <c r="T18" s="238">
        <f>((((T10)*Packages!$E$5)*(Packages!$J$5)+(((T10)*Packages!$E$6)*Packages!$J$6)+(((T10)*Packages!$E$7)*Packages!$J$7)))+((((T10)*Packages!$E$8)*(Packages!$J$8)))</f>
        <v>12685944.664591573</v>
      </c>
      <c r="U18" s="196">
        <f>((((U10)*Packages!$E$5)*(Packages!$J$5)+(((U10)*Packages!$E$6)*Packages!$J$6)+(((U10)*Packages!$E$7)*Packages!$J$7)))+((((U10)*Packages!$E$8)*(Packages!$J$8)))</f>
        <v>13355021.344405474</v>
      </c>
      <c r="V18" s="196">
        <f>((((V10)*Packages!$E$5)*(Packages!$J$5)+(((V10)*Packages!$E$6)*Packages!$J$6)+(((V10)*Packages!$E$7)*Packages!$J$7)))+((((V10)*Packages!$E$8)*(Packages!$J$8)))</f>
        <v>13990644.190228682</v>
      </c>
      <c r="W18" s="196">
        <f>((((W10)*Packages!$E$5)*(Packages!$J$5)+(((W10)*Packages!$E$6)*Packages!$J$6)+(((W10)*Packages!$E$7)*Packages!$J$7)))+((((W10)*Packages!$E$8)*(Packages!$J$8)))</f>
        <v>14594485.893760726</v>
      </c>
      <c r="X18" s="196">
        <f>((((X10)*Packages!$E$5)*(Packages!$J$5)+(((X10)*Packages!$E$6)*Packages!$J$6)+(((X10)*Packages!$E$7)*Packages!$J$7)))+((((X10)*Packages!$E$8)*(Packages!$J$8)))</f>
        <v>15168135.512116168</v>
      </c>
      <c r="Y18" s="196">
        <f>((((Y10)*Packages!$E$5)*(Packages!$J$5)+(((Y10)*Packages!$E$6)*Packages!$J$6)+(((Y10)*Packages!$E$7)*Packages!$J$7)))+((((Y10)*Packages!$E$8)*(Packages!$J$8)))</f>
        <v>15713102.649553835</v>
      </c>
      <c r="Z18" s="196">
        <f>((((Z10)*Packages!$E$5)*(Packages!$J$5)+(((Z10)*Packages!$E$6)*Packages!$J$6)+(((Z10)*Packages!$E$7)*Packages!$J$7)))+((((Z10)*Packages!$E$8)*(Packages!$J$8)))</f>
        <v>16230821.430119622</v>
      </c>
      <c r="AA18" s="196">
        <f>((((AA10)*Packages!$E$5)*(Packages!$J$5)+(((AA10)*Packages!$E$6)*Packages!$J$6)+(((AA10)*Packages!$E$7)*Packages!$J$7)))+((((AA10)*Packages!$E$8)*(Packages!$J$8)))</f>
        <v>16722654.271657119</v>
      </c>
      <c r="AB18" s="196">
        <f>((((AB10)*Packages!$E$5)*(Packages!$J$5)+(((AB10)*Packages!$E$6)*Packages!$J$6)+(((AB10)*Packages!$E$7)*Packages!$J$7)))+((((AB10)*Packages!$E$8)*(Packages!$J$8)))</f>
        <v>17189895.471117742</v>
      </c>
      <c r="AC18" s="196">
        <f>((((AC10)*Packages!$E$5)*(Packages!$J$5)+(((AC10)*Packages!$E$6)*Packages!$J$6)+(((AC10)*Packages!$E$7)*Packages!$J$7)))+((((AC10)*Packages!$E$8)*(Packages!$J$8)))</f>
        <v>17633774.610605333</v>
      </c>
      <c r="AD18" s="196">
        <f>((((AD10)*Packages!$E$5)*(Packages!$J$5)+(((AD10)*Packages!$E$6)*Packages!$J$6)+(((AD10)*Packages!$E$7)*Packages!$J$7)))+((((AD10)*Packages!$E$8)*(Packages!$J$8)))</f>
        <v>18055459.793118544</v>
      </c>
      <c r="AE18" s="196">
        <f>((((AE10)*Packages!$E$5)*(Packages!$J$5)+(((AE10)*Packages!$E$6)*Packages!$J$6)+(((AE10)*Packages!$E$7)*Packages!$J$7)))+((((AE10)*Packages!$E$8)*(Packages!$J$8)))</f>
        <v>18456060.716506097</v>
      </c>
      <c r="AF18" s="239">
        <f t="shared" si="18"/>
        <v>189796000.5477809</v>
      </c>
      <c r="AG18" s="81">
        <f>((((AG10)*Packages!$E$5)*(Packages!$J$5)+(((AG10)*Packages!$E$6)*Packages!$J$6)+(((AG10)*Packages!$E$7)*Packages!$J$7)))+((((AG10)*Packages!$E$8)*(Packages!$J$8)))</f>
        <v>18836631.593724266</v>
      </c>
      <c r="AH18" s="81">
        <f>((((AH10)*Packages!$E$5)*(Packages!$J$5)+(((AH10)*Packages!$E$6)*Packages!$J$6)+(((AH10)*Packages!$E$7)*Packages!$J$7)))+((((AH10)*Packages!$E$8)*(Packages!$J$8)))</f>
        <v>19198173.92708154</v>
      </c>
      <c r="AI18" s="81">
        <f>((((AI10)*Packages!$E$5)*(Packages!$J$5)+(((AI10)*Packages!$E$6)*Packages!$J$6)+(((AI10)*Packages!$E$7)*Packages!$J$7)))+((((AI10)*Packages!$E$8)*(Packages!$J$8)))</f>
        <v>19541639.143770937</v>
      </c>
      <c r="AJ18" s="81">
        <f>((((AJ10)*Packages!$E$5)*(Packages!$J$5)+(((AJ10)*Packages!$E$6)*Packages!$J$6)+(((AJ10)*Packages!$E$7)*Packages!$J$7)))+((((AJ10)*Packages!$E$8)*(Packages!$J$8)))</f>
        <v>19867931.099625871</v>
      </c>
      <c r="AK18" s="81">
        <f>((((AK10)*Packages!$E$5)*(Packages!$J$5)+(((AK10)*Packages!$E$6)*Packages!$J$6)+(((AK10)*Packages!$E$7)*Packages!$J$7)))+((((AK10)*Packages!$E$8)*(Packages!$J$8)))</f>
        <v>20177908.457688052</v>
      </c>
      <c r="AL18" s="81">
        <f>((((AL10)*Packages!$E$5)*(Packages!$J$5)+(((AL10)*Packages!$E$6)*Packages!$J$6)+(((AL10)*Packages!$E$7)*Packages!$J$7)))+((((AL10)*Packages!$E$8)*(Packages!$J$8)))</f>
        <v>20472386.947847132</v>
      </c>
      <c r="AM18" s="81">
        <f>((((AM10)*Packages!$E$5)*(Packages!$J$5)+(((AM10)*Packages!$E$6)*Packages!$J$6)+(((AM10)*Packages!$E$7)*Packages!$J$7)))+((((AM10)*Packages!$E$8)*(Packages!$J$8)))</f>
        <v>20752141.513498254</v>
      </c>
      <c r="AN18" s="81">
        <f>((((AN10)*Packages!$E$5)*(Packages!$J$5)+(((AN10)*Packages!$E$6)*Packages!$J$6)+(((AN10)*Packages!$E$7)*Packages!$J$7)))+((((AN10)*Packages!$E$8)*(Packages!$J$8)))</f>
        <v>21017908.350866821</v>
      </c>
      <c r="AO18" s="81">
        <f>((((AO10)*Packages!$E$5)*(Packages!$J$5)+(((AO10)*Packages!$E$6)*Packages!$J$6)+(((AO10)*Packages!$E$7)*Packages!$J$7)))+((((AO10)*Packages!$E$8)*(Packages!$J$8)))</f>
        <v>21270386.846366957</v>
      </c>
      <c r="AP18" s="81">
        <f>((((AP10)*Packages!$E$5)*(Packages!$J$5)+(((AP10)*Packages!$E$6)*Packages!$J$6)+(((AP10)*Packages!$E$7)*Packages!$J$7)))+((((AP10)*Packages!$E$8)*(Packages!$J$8)))</f>
        <v>21510241.417092089</v>
      </c>
      <c r="AQ18" s="81">
        <f>((((AQ10)*Packages!$E$5)*(Packages!$J$5)+(((AQ10)*Packages!$E$6)*Packages!$J$6)+(((AQ10)*Packages!$E$7)*Packages!$J$7)))+((((AQ10)*Packages!$E$8)*(Packages!$J$8)))</f>
        <v>21738103.259280957</v>
      </c>
      <c r="AR18" s="81">
        <f>((((AR10)*Packages!$E$5)*(Packages!$J$5)+(((AR10)*Packages!$E$6)*Packages!$J$6)+(((AR10)*Packages!$E$7)*Packages!$J$7)))+((((AR10)*Packages!$E$8)*(Packages!$J$8)))</f>
        <v>21954572.009360388</v>
      </c>
      <c r="AS18" s="81">
        <f>((((AS10)*Packages!$E$5)*(Packages!$J$5)+(((AS10)*Packages!$E$6)*Packages!$J$6)+(((AS10)*Packages!$E$7)*Packages!$J$7)))+((((AS10)*Packages!$E$8)*(Packages!$J$8)))</f>
        <v>22160217.321935847</v>
      </c>
      <c r="AT18" s="81">
        <f>((((AT10)*Packages!$E$5)*(Packages!$J$5)+(((AT10)*Packages!$E$6)*Packages!$J$6)+(((AT10)*Packages!$E$7)*Packages!$J$7)))+((((AT10)*Packages!$E$8)*(Packages!$J$8)))</f>
        <v>22355580.368882537</v>
      </c>
      <c r="AU18" s="81">
        <f>((((AU10)*Packages!$E$5)*(Packages!$J$5)+(((AU10)*Packages!$E$6)*Packages!$J$6)+(((AU10)*Packages!$E$7)*Packages!$J$7)))+((((AU10)*Packages!$E$8)*(Packages!$J$8)))</f>
        <v>22541175.263481889</v>
      </c>
      <c r="AV18" s="81">
        <f>((((AV10)*Packages!$E$5)*(Packages!$J$5)+(((AV10)*Packages!$E$6)*Packages!$J$6)+(((AV10)*Packages!$E$7)*Packages!$J$7)))+((((AV10)*Packages!$E$8)*(Packages!$J$8)))</f>
        <v>22717490.413351271</v>
      </c>
      <c r="AW18" s="81">
        <f>((((AW10)*Packages!$E$5)*(Packages!$J$5)+(((AW10)*Packages!$E$6)*Packages!$J$6)+(((AW10)*Packages!$E$7)*Packages!$J$7)))+((((AW10)*Packages!$E$8)*(Packages!$J$8)))</f>
        <v>22884989.805727184</v>
      </c>
      <c r="AX18" s="81">
        <f>((((AX10)*Packages!$E$5)*(Packages!$J$5)+(((AX10)*Packages!$E$6)*Packages!$J$6)+(((AX10)*Packages!$E$7)*Packages!$J$7)))+((((AX10)*Packages!$E$8)*(Packages!$J$8)))</f>
        <v>23044114.228484303</v>
      </c>
      <c r="AY18" s="81">
        <f>((((AY10)*Packages!$E$5)*(Packages!$J$5)+(((AY10)*Packages!$E$6)*Packages!$J$6)+(((AY10)*Packages!$E$7)*Packages!$J$7)))+((((AY10)*Packages!$E$8)*(Packages!$J$8)))</f>
        <v>23195282.430103566</v>
      </c>
      <c r="AZ18" s="81">
        <f>((((AZ10)*Packages!$E$5)*(Packages!$J$5)+(((AZ10)*Packages!$E$6)*Packages!$J$6)+(((AZ10)*Packages!$E$7)*Packages!$J$7)))+((((AZ10)*Packages!$E$8)*(Packages!$J$8)))</f>
        <v>23338892.221641865</v>
      </c>
      <c r="BA18" s="81">
        <f>((((BA10)*Packages!$E$5)*(Packages!$J$5)+(((BA10)*Packages!$E$6)*Packages!$J$6)+(((BA10)*Packages!$E$7)*Packages!$J$7)))+((((BA10)*Packages!$E$8)*(Packages!$J$8)))</f>
        <v>23475321.523603246</v>
      </c>
      <c r="BB18" s="81">
        <f>((((BB10)*Packages!$E$5)*(Packages!$J$5)+(((BB10)*Packages!$E$6)*Packages!$J$6)+(((BB10)*Packages!$E$7)*Packages!$J$7)))+((((BB10)*Packages!$E$8)*(Packages!$J$8)))</f>
        <v>23604929.360466566</v>
      </c>
      <c r="BC18" s="81">
        <f>((((BC10)*Packages!$E$5)*(Packages!$J$5)+(((BC10)*Packages!$E$6)*Packages!$J$6)+(((BC10)*Packages!$E$7)*Packages!$J$7)))+((((BC10)*Packages!$E$8)*(Packages!$J$8)))</f>
        <v>23728056.805486716</v>
      </c>
      <c r="BD18" s="81">
        <f>((((BD10)*Packages!$E$5)*(Packages!$J$5)+(((BD10)*Packages!$E$6)*Packages!$J$6)+(((BD10)*Packages!$E$7)*Packages!$J$7)))+((((BD10)*Packages!$E$8)*(Packages!$J$8)))</f>
        <v>23845027.878255855</v>
      </c>
      <c r="BE18" s="81">
        <f>((((BE10)*Packages!$E$5)*(Packages!$J$5)+(((BE10)*Packages!$E$6)*Packages!$J$6)+(((BE10)*Packages!$E$7)*Packages!$J$7)))+((((BE10)*Packages!$E$8)*(Packages!$J$8)))</f>
        <v>23956150.39738654</v>
      </c>
      <c r="BF18" s="81">
        <f>((((BF10)*Packages!$E$5)*(Packages!$J$5)+(((BF10)*Packages!$E$6)*Packages!$J$6)+(((BF10)*Packages!$E$7)*Packages!$J$7)))+((((BF10)*Packages!$E$8)*(Packages!$J$8)))</f>
        <v>24061716.790560696</v>
      </c>
      <c r="BG18" s="81">
        <f>((((BG10)*Packages!$E$5)*(Packages!$J$5)+(((BG10)*Packages!$E$6)*Packages!$J$6)+(((BG10)*Packages!$E$7)*Packages!$J$7)))+((((BG10)*Packages!$E$8)*(Packages!$J$8)))</f>
        <v>24162004.864076138</v>
      </c>
      <c r="BH18" s="81">
        <f>((((BH10)*Packages!$E$5)*(Packages!$J$5)+(((BH10)*Packages!$E$6)*Packages!$J$6)+(((BH10)*Packages!$E$7)*Packages!$J$7)))+((((BH10)*Packages!$E$8)*(Packages!$J$8)))</f>
        <v>24257278.53391581</v>
      </c>
      <c r="BI18" s="81">
        <f>((((BI10)*Packages!$E$5)*(Packages!$J$5)+(((BI10)*Packages!$E$6)*Packages!$J$6)+(((BI10)*Packages!$E$7)*Packages!$J$7)))+((((BI10)*Packages!$E$8)*(Packages!$J$8)))</f>
        <v>24347788.520263497</v>
      </c>
      <c r="BJ18" s="81">
        <f>((((BJ10)*Packages!$E$5)*(Packages!$J$5)+(((BJ10)*Packages!$E$6)*Packages!$J$6)+(((BJ10)*Packages!$E$7)*Packages!$J$7)))+((((BJ10)*Packages!$E$8)*(Packages!$J$8)))</f>
        <v>24433773.007293809</v>
      </c>
      <c r="BK18" s="81">
        <f>((((BK10)*Packages!$E$5)*(Packages!$J$5)+(((BK10)*Packages!$E$6)*Packages!$J$6)+(((BK10)*Packages!$E$7)*Packages!$J$7)))+((((BK10)*Packages!$E$8)*(Packages!$J$8)))</f>
        <v>24515458.269972589</v>
      </c>
      <c r="BL18" s="81">
        <f>((((BL10)*Packages!$E$5)*(Packages!$J$5)+(((BL10)*Packages!$E$6)*Packages!$J$6)+(((BL10)*Packages!$E$7)*Packages!$J$7)))+((((BL10)*Packages!$E$8)*(Packages!$J$8)))</f>
        <v>24593059.269517444</v>
      </c>
      <c r="BM18" s="81">
        <f>((((BM10)*Packages!$E$5)*(Packages!$J$5)+(((BM10)*Packages!$E$6)*Packages!$J$6)+(((BM10)*Packages!$E$7)*Packages!$J$7)))+((((BM10)*Packages!$E$8)*(Packages!$J$8)))</f>
        <v>24666780.219085049</v>
      </c>
      <c r="BN18" s="81">
        <f>((((BN10)*Packages!$E$5)*(Packages!$J$5)+(((BN10)*Packages!$E$6)*Packages!$J$6)+(((BN10)*Packages!$E$7)*Packages!$J$7)))+((((BN10)*Packages!$E$8)*(Packages!$J$8)))</f>
        <v>24736815.121174272</v>
      </c>
      <c r="BO18" s="81">
        <f>((((BO10)*Packages!$E$5)*(Packages!$J$5)+(((BO10)*Packages!$E$6)*Packages!$J$6)+(((BO10)*Packages!$E$7)*Packages!$J$7)))+((((BO10)*Packages!$E$8)*(Packages!$J$8)))</f>
        <v>24803348.278159041</v>
      </c>
      <c r="BP18" s="81">
        <f>((((BP10)*Packages!$E$5)*(Packages!$J$5)+(((BP10)*Packages!$E$6)*Packages!$J$6)+(((BP10)*Packages!$E$7)*Packages!$J$7)))+((((BP10)*Packages!$E$8)*(Packages!$J$8)))</f>
        <v>24866554.777294561</v>
      </c>
      <c r="BQ18" s="65">
        <f t="shared" si="2"/>
        <v>1091584154.8835771</v>
      </c>
      <c r="BR18" s="162" t="s">
        <v>53</v>
      </c>
      <c r="BS18" s="162"/>
      <c r="BT18" s="164">
        <f>SUM(G18:R18)</f>
        <v>85158324.099472925</v>
      </c>
      <c r="BU18" s="164">
        <f>SUM(T18:AE18)</f>
        <v>189796000.5477809</v>
      </c>
      <c r="BV18" s="164">
        <f>SUM(AG18:AR18)</f>
        <v>246338024.56620324</v>
      </c>
      <c r="BW18" s="164">
        <f>SUM(AS18:BD18)</f>
        <v>276891077.62142086</v>
      </c>
      <c r="BX18" s="164">
        <f>SUM(BE18:BP18)</f>
        <v>293400728.0486995</v>
      </c>
      <c r="BY18" s="53">
        <f>BQ18</f>
        <v>1091584154.8835771</v>
      </c>
    </row>
    <row r="19" spans="2:78" s="72" customFormat="1" x14ac:dyDescent="0.3">
      <c r="D19" s="138" t="s">
        <v>4</v>
      </c>
      <c r="F19" s="82">
        <v>100</v>
      </c>
      <c r="G19" s="83">
        <f>G18/G10</f>
        <v>81.460869565217408</v>
      </c>
      <c r="H19" s="83">
        <f t="shared" ref="H19:BP19" si="26">H18/H10</f>
        <v>81.460869565217408</v>
      </c>
      <c r="I19" s="83">
        <f t="shared" si="26"/>
        <v>81.460869565217394</v>
      </c>
      <c r="J19" s="83">
        <f t="shared" si="26"/>
        <v>81.460869565217394</v>
      </c>
      <c r="K19" s="83">
        <f t="shared" si="26"/>
        <v>81.460869565217394</v>
      </c>
      <c r="L19" s="83">
        <f t="shared" si="26"/>
        <v>81.460869565217394</v>
      </c>
      <c r="M19" s="83">
        <f t="shared" si="26"/>
        <v>81.460869565217394</v>
      </c>
      <c r="N19" s="83">
        <f t="shared" si="26"/>
        <v>81.460869565217394</v>
      </c>
      <c r="O19" s="83">
        <f t="shared" si="26"/>
        <v>81.460869565217408</v>
      </c>
      <c r="P19" s="83">
        <f t="shared" si="26"/>
        <v>81.460869565217408</v>
      </c>
      <c r="Q19" s="83">
        <f t="shared" si="26"/>
        <v>81.460869565217394</v>
      </c>
      <c r="R19" s="83">
        <f t="shared" si="26"/>
        <v>81.460869565217394</v>
      </c>
      <c r="S19" s="207">
        <f t="shared" si="26"/>
        <v>578.97444427221171</v>
      </c>
      <c r="T19" s="83">
        <f t="shared" si="26"/>
        <v>81.460869565217394</v>
      </c>
      <c r="U19" s="83">
        <f t="shared" si="26"/>
        <v>81.460869565217408</v>
      </c>
      <c r="V19" s="83">
        <f t="shared" si="26"/>
        <v>81.460869565217408</v>
      </c>
      <c r="W19" s="83">
        <f t="shared" si="26"/>
        <v>81.460869565217408</v>
      </c>
      <c r="X19" s="83">
        <f t="shared" si="26"/>
        <v>81.460869565217394</v>
      </c>
      <c r="Y19" s="83">
        <f t="shared" si="26"/>
        <v>81.460869565217394</v>
      </c>
      <c r="Z19" s="83">
        <f t="shared" si="26"/>
        <v>81.460869565217394</v>
      </c>
      <c r="AA19" s="83">
        <f t="shared" si="26"/>
        <v>81.460869565217394</v>
      </c>
      <c r="AB19" s="83">
        <f t="shared" si="26"/>
        <v>81.460869565217394</v>
      </c>
      <c r="AC19" s="83">
        <f t="shared" si="26"/>
        <v>81.460869565217394</v>
      </c>
      <c r="AD19" s="83">
        <f t="shared" si="26"/>
        <v>81.460869565217394</v>
      </c>
      <c r="AE19" s="83">
        <f t="shared" si="26"/>
        <v>81.460869565217408</v>
      </c>
      <c r="AF19" s="83"/>
      <c r="AG19" s="83">
        <f t="shared" si="26"/>
        <v>81.460869565217379</v>
      </c>
      <c r="AH19" s="83">
        <f t="shared" si="26"/>
        <v>81.460869565217422</v>
      </c>
      <c r="AI19" s="83">
        <f t="shared" si="26"/>
        <v>81.460869565217394</v>
      </c>
      <c r="AJ19" s="83">
        <f t="shared" si="26"/>
        <v>81.460869565217408</v>
      </c>
      <c r="AK19" s="83">
        <f t="shared" si="26"/>
        <v>81.460869565217394</v>
      </c>
      <c r="AL19" s="83">
        <f t="shared" si="26"/>
        <v>81.460869565217408</v>
      </c>
      <c r="AM19" s="83">
        <f t="shared" si="26"/>
        <v>81.460869565217408</v>
      </c>
      <c r="AN19" s="83">
        <f t="shared" si="26"/>
        <v>81.460869565217408</v>
      </c>
      <c r="AO19" s="83">
        <f t="shared" si="26"/>
        <v>81.460869565217394</v>
      </c>
      <c r="AP19" s="83">
        <f t="shared" si="26"/>
        <v>81.460869565217408</v>
      </c>
      <c r="AQ19" s="83">
        <f t="shared" si="26"/>
        <v>81.460869565217408</v>
      </c>
      <c r="AR19" s="83">
        <f t="shared" si="26"/>
        <v>81.460869565217408</v>
      </c>
      <c r="AS19" s="83">
        <f t="shared" si="26"/>
        <v>81.460869565217408</v>
      </c>
      <c r="AT19" s="83">
        <f t="shared" si="26"/>
        <v>81.460869565217422</v>
      </c>
      <c r="AU19" s="83">
        <f t="shared" si="26"/>
        <v>81.460869565217408</v>
      </c>
      <c r="AV19" s="83">
        <f t="shared" si="26"/>
        <v>81.460869565217408</v>
      </c>
      <c r="AW19" s="83">
        <f t="shared" si="26"/>
        <v>81.460869565217408</v>
      </c>
      <c r="AX19" s="83">
        <f t="shared" si="26"/>
        <v>81.460869565217394</v>
      </c>
      <c r="AY19" s="83">
        <f t="shared" si="26"/>
        <v>81.460869565217408</v>
      </c>
      <c r="AZ19" s="83">
        <f t="shared" si="26"/>
        <v>81.460869565217408</v>
      </c>
      <c r="BA19" s="83">
        <f t="shared" si="26"/>
        <v>81.460869565217394</v>
      </c>
      <c r="BB19" s="83">
        <f t="shared" si="26"/>
        <v>81.460869565217408</v>
      </c>
      <c r="BC19" s="83">
        <f t="shared" si="26"/>
        <v>81.460869565217408</v>
      </c>
      <c r="BD19" s="83">
        <f t="shared" si="26"/>
        <v>81.460869565217394</v>
      </c>
      <c r="BE19" s="83">
        <f t="shared" si="26"/>
        <v>81.460869565217394</v>
      </c>
      <c r="BF19" s="83">
        <f t="shared" si="26"/>
        <v>81.460869565217408</v>
      </c>
      <c r="BG19" s="83">
        <f t="shared" si="26"/>
        <v>81.460869565217394</v>
      </c>
      <c r="BH19" s="83">
        <f t="shared" si="26"/>
        <v>81.460869565217394</v>
      </c>
      <c r="BI19" s="83">
        <f t="shared" si="26"/>
        <v>81.460869565217379</v>
      </c>
      <c r="BJ19" s="83">
        <f t="shared" si="26"/>
        <v>81.460869565217408</v>
      </c>
      <c r="BK19" s="83">
        <f t="shared" si="26"/>
        <v>81.460869565217379</v>
      </c>
      <c r="BL19" s="83">
        <f t="shared" si="26"/>
        <v>81.460869565217408</v>
      </c>
      <c r="BM19" s="83">
        <f t="shared" si="26"/>
        <v>81.460869565217408</v>
      </c>
      <c r="BN19" s="83">
        <f t="shared" si="26"/>
        <v>81.460869565217394</v>
      </c>
      <c r="BO19" s="83">
        <f t="shared" si="26"/>
        <v>81.460869565217408</v>
      </c>
      <c r="BP19" s="83">
        <f t="shared" si="26"/>
        <v>81.460869565217394</v>
      </c>
      <c r="BQ19" s="65">
        <f t="shared" si="2"/>
        <v>4887.6521739130476</v>
      </c>
      <c r="BR19" s="165" t="s">
        <v>4</v>
      </c>
      <c r="BS19" s="165"/>
      <c r="BT19" s="168">
        <f>SUM(G19:R19)/12</f>
        <v>81.460869565217408</v>
      </c>
      <c r="BU19" s="168">
        <f>SUM(H19:T19)/12</f>
        <v>129.70873992123504</v>
      </c>
      <c r="BV19" s="168">
        <f>SUM(I19:U19)/12</f>
        <v>129.70873992123504</v>
      </c>
      <c r="BW19" s="168">
        <f>SUM(J19:V19)/12</f>
        <v>129.70873992123504</v>
      </c>
      <c r="BX19" s="168">
        <f>SUM(K19:W19)/12</f>
        <v>129.70873992123504</v>
      </c>
      <c r="BY19" s="84"/>
    </row>
    <row r="20" spans="2:78" x14ac:dyDescent="0.3">
      <c r="B20" s="1"/>
      <c r="C20" s="1"/>
      <c r="D20" s="3"/>
      <c r="E20" s="3" t="s">
        <v>181</v>
      </c>
      <c r="F20" s="35"/>
      <c r="G20" s="254">
        <v>2</v>
      </c>
      <c r="H20" s="254">
        <v>2</v>
      </c>
      <c r="I20" s="254">
        <v>3</v>
      </c>
      <c r="J20" s="254">
        <v>3</v>
      </c>
      <c r="K20" s="254">
        <v>4</v>
      </c>
      <c r="L20" s="254">
        <v>5</v>
      </c>
      <c r="M20" s="254">
        <v>5</v>
      </c>
      <c r="N20" s="254">
        <v>5</v>
      </c>
      <c r="O20" s="254">
        <v>6</v>
      </c>
      <c r="P20" s="254">
        <v>6</v>
      </c>
      <c r="Q20" s="254">
        <v>7</v>
      </c>
      <c r="R20" s="254">
        <v>7</v>
      </c>
      <c r="S20" s="254"/>
      <c r="T20" s="254">
        <v>7</v>
      </c>
      <c r="U20" s="254">
        <v>7</v>
      </c>
      <c r="V20" s="254">
        <v>8</v>
      </c>
      <c r="W20" s="254">
        <v>8</v>
      </c>
      <c r="X20" s="254">
        <v>8</v>
      </c>
      <c r="Y20" s="254">
        <v>9</v>
      </c>
      <c r="Z20" s="254">
        <v>9</v>
      </c>
      <c r="AA20" s="254">
        <v>9</v>
      </c>
      <c r="AB20" s="254">
        <v>9</v>
      </c>
      <c r="AC20" s="254">
        <v>9</v>
      </c>
      <c r="AD20" s="254">
        <v>10</v>
      </c>
      <c r="AE20" s="254">
        <v>10</v>
      </c>
      <c r="AF20" s="254"/>
      <c r="AG20" s="254">
        <v>10</v>
      </c>
      <c r="AH20" s="254">
        <v>10</v>
      </c>
      <c r="AI20" s="254">
        <v>10</v>
      </c>
      <c r="AJ20" s="254">
        <v>10</v>
      </c>
      <c r="AK20" s="254">
        <v>10</v>
      </c>
      <c r="AL20" s="254">
        <v>10</v>
      </c>
      <c r="AM20" s="254">
        <v>10</v>
      </c>
      <c r="AN20" s="254">
        <v>11</v>
      </c>
      <c r="AO20" s="254">
        <v>11</v>
      </c>
      <c r="AP20" s="254">
        <v>11</v>
      </c>
      <c r="AQ20" s="254">
        <v>11</v>
      </c>
      <c r="AR20" s="254">
        <v>11</v>
      </c>
      <c r="AS20" s="254">
        <v>11</v>
      </c>
      <c r="AT20" s="254">
        <v>11</v>
      </c>
      <c r="AU20" s="254">
        <v>11</v>
      </c>
      <c r="AV20" s="254">
        <v>11</v>
      </c>
      <c r="AW20" s="254">
        <v>11</v>
      </c>
      <c r="AX20" s="254">
        <v>11</v>
      </c>
      <c r="AY20" s="254">
        <v>12</v>
      </c>
      <c r="AZ20" s="254">
        <v>12</v>
      </c>
      <c r="BA20" s="254">
        <v>12</v>
      </c>
      <c r="BB20" s="254">
        <v>12</v>
      </c>
      <c r="BC20" s="254">
        <v>12</v>
      </c>
      <c r="BD20" s="254">
        <v>12</v>
      </c>
      <c r="BE20" s="254">
        <v>12</v>
      </c>
      <c r="BF20" s="254">
        <v>12</v>
      </c>
      <c r="BG20" s="254">
        <v>12</v>
      </c>
      <c r="BH20" s="254">
        <v>12</v>
      </c>
      <c r="BI20" s="254">
        <v>12</v>
      </c>
      <c r="BJ20" s="254">
        <v>12</v>
      </c>
      <c r="BK20" s="254">
        <v>12</v>
      </c>
      <c r="BL20" s="254">
        <v>12</v>
      </c>
      <c r="BM20" s="254">
        <v>12</v>
      </c>
      <c r="BN20" s="254">
        <v>12</v>
      </c>
      <c r="BO20" s="254">
        <v>12</v>
      </c>
      <c r="BP20" s="254">
        <v>12</v>
      </c>
      <c r="BQ20" s="254"/>
      <c r="BR20" s="155"/>
      <c r="BS20" s="155"/>
      <c r="BT20" s="169"/>
      <c r="BU20" s="169"/>
      <c r="BV20" s="169"/>
      <c r="BW20" s="169"/>
      <c r="BX20" s="169"/>
      <c r="BY20" s="37"/>
      <c r="BZ20" s="1"/>
    </row>
    <row r="21" spans="2:78" s="55" customFormat="1" ht="14.45" customHeight="1" x14ac:dyDescent="0.3">
      <c r="D21" s="56" t="s">
        <v>122</v>
      </c>
      <c r="F21" s="59"/>
      <c r="G21" s="60">
        <f>G22+G26+G27+G30+G35+G36</f>
        <v>1415622.216236522</v>
      </c>
      <c r="H21" s="60">
        <f>H22+H26+H27+H30+H35+H36</f>
        <v>1978213.3216612174</v>
      </c>
      <c r="I21" s="60">
        <f t="shared" ref="I21:BP21" si="27">I22+I26+I27+I30+I35+I36</f>
        <v>2779924.8718146784</v>
      </c>
      <c r="J21" s="60">
        <f t="shared" si="27"/>
        <v>3517800.8444604664</v>
      </c>
      <c r="K21" s="60">
        <f t="shared" si="27"/>
        <v>4243783.0184739651</v>
      </c>
      <c r="L21" s="60">
        <f t="shared" si="27"/>
        <v>4934716.0837867875</v>
      </c>
      <c r="M21" s="60">
        <f t="shared" si="27"/>
        <v>5567352.4958339706</v>
      </c>
      <c r="N21" s="60">
        <f t="shared" si="27"/>
        <v>6168357.0872787945</v>
      </c>
      <c r="O21" s="60">
        <f t="shared" si="27"/>
        <v>6764311.4491513772</v>
      </c>
      <c r="P21" s="60">
        <f t="shared" si="27"/>
        <v>7306718.092930329</v>
      </c>
      <c r="Q21" s="60">
        <f t="shared" si="27"/>
        <v>7847004.4045203347</v>
      </c>
      <c r="R21" s="60">
        <f t="shared" si="27"/>
        <v>8336526.4005308393</v>
      </c>
      <c r="S21" s="208">
        <f>SUM(G21:R21)</f>
        <v>60860330.286679283</v>
      </c>
      <c r="T21" s="60">
        <f t="shared" si="27"/>
        <v>8806522.2967408188</v>
      </c>
      <c r="U21" s="60">
        <f t="shared" si="27"/>
        <v>9248315.8981403001</v>
      </c>
      <c r="V21" s="60">
        <f t="shared" si="27"/>
        <v>9693019.8194698095</v>
      </c>
      <c r="W21" s="60">
        <f t="shared" si="27"/>
        <v>10091738.544732841</v>
      </c>
      <c r="X21" s="60">
        <f t="shared" si="27"/>
        <v>10470521.33373272</v>
      </c>
      <c r="Y21" s="60">
        <f t="shared" si="27"/>
        <v>10855364.983282605</v>
      </c>
      <c r="Z21" s="60">
        <f t="shared" si="27"/>
        <v>11197216.450354997</v>
      </c>
      <c r="AA21" s="60">
        <f t="shared" si="27"/>
        <v>11521975.344073769</v>
      </c>
      <c r="AB21" s="60">
        <f t="shared" si="27"/>
        <v>11830496.293106603</v>
      </c>
      <c r="AC21" s="60">
        <f t="shared" si="27"/>
        <v>12123591.194687791</v>
      </c>
      <c r="AD21" s="60">
        <f t="shared" si="27"/>
        <v>12427031.351189926</v>
      </c>
      <c r="AE21" s="60">
        <f t="shared" si="27"/>
        <v>12691549.499866951</v>
      </c>
      <c r="AF21" s="60">
        <f>SUM(T21:AE21)</f>
        <v>130957343.00937912</v>
      </c>
      <c r="AG21" s="60">
        <f t="shared" si="27"/>
        <v>12948039.241110126</v>
      </c>
      <c r="AH21" s="60">
        <f t="shared" si="27"/>
        <v>13186766.870291142</v>
      </c>
      <c r="AI21" s="60">
        <f t="shared" si="27"/>
        <v>13413558.118013104</v>
      </c>
      <c r="AJ21" s="60">
        <f t="shared" si="27"/>
        <v>13629009.803348973</v>
      </c>
      <c r="AK21" s="60">
        <f t="shared" si="27"/>
        <v>13833688.904418044</v>
      </c>
      <c r="AL21" s="60">
        <f t="shared" si="27"/>
        <v>14028134.050433667</v>
      </c>
      <c r="AM21" s="60">
        <f t="shared" si="27"/>
        <v>14212856.939148504</v>
      </c>
      <c r="AN21" s="60">
        <f t="shared" si="27"/>
        <v>14413343.6834276</v>
      </c>
      <c r="AO21" s="60">
        <f t="shared" si="27"/>
        <v>14580056.090492744</v>
      </c>
      <c r="AP21" s="60">
        <f t="shared" si="27"/>
        <v>14738432.877204627</v>
      </c>
      <c r="AQ21" s="60">
        <f t="shared" si="27"/>
        <v>14888890.824580915</v>
      </c>
      <c r="AR21" s="60">
        <f t="shared" si="27"/>
        <v>15031825.874588393</v>
      </c>
      <c r="AS21" s="60">
        <f t="shared" si="27"/>
        <v>15173071.547095492</v>
      </c>
      <c r="AT21" s="60">
        <f t="shared" si="27"/>
        <v>15302070.429727241</v>
      </c>
      <c r="AU21" s="60">
        <f t="shared" si="27"/>
        <v>15424619.3682274</v>
      </c>
      <c r="AV21" s="60">
        <f t="shared" si="27"/>
        <v>15541040.859802552</v>
      </c>
      <c r="AW21" s="60">
        <f t="shared" si="27"/>
        <v>15651641.276798945</v>
      </c>
      <c r="AX21" s="60">
        <f t="shared" si="27"/>
        <v>15756711.672945522</v>
      </c>
      <c r="AY21" s="60">
        <f t="shared" si="27"/>
        <v>15881528.549284769</v>
      </c>
      <c r="AZ21" s="60">
        <f t="shared" si="27"/>
        <v>15976354.581807047</v>
      </c>
      <c r="BA21" s="60">
        <f t="shared" si="27"/>
        <v>16066439.312703218</v>
      </c>
      <c r="BB21" s="60">
        <f t="shared" si="27"/>
        <v>16152019.807054581</v>
      </c>
      <c r="BC21" s="60">
        <f t="shared" si="27"/>
        <v>16233321.276688373</v>
      </c>
      <c r="BD21" s="60">
        <f t="shared" si="27"/>
        <v>16310557.672840474</v>
      </c>
      <c r="BE21" s="60">
        <f t="shared" si="27"/>
        <v>16389662.492934972</v>
      </c>
      <c r="BF21" s="60">
        <f t="shared" si="27"/>
        <v>16459368.340462247</v>
      </c>
      <c r="BG21" s="60">
        <f t="shared" si="27"/>
        <v>16525588.895613158</v>
      </c>
      <c r="BH21" s="60">
        <f t="shared" si="27"/>
        <v>16588498.423006518</v>
      </c>
      <c r="BI21" s="60">
        <f t="shared" si="27"/>
        <v>16648262.474030219</v>
      </c>
      <c r="BJ21" s="60">
        <f t="shared" si="27"/>
        <v>16705038.32250273</v>
      </c>
      <c r="BK21" s="60">
        <f t="shared" si="27"/>
        <v>16758975.378551614</v>
      </c>
      <c r="BL21" s="60">
        <f t="shared" si="27"/>
        <v>16810215.581798054</v>
      </c>
      <c r="BM21" s="60">
        <f t="shared" si="27"/>
        <v>16858893.774882175</v>
      </c>
      <c r="BN21" s="60">
        <f t="shared" si="27"/>
        <v>16905138.058312088</v>
      </c>
      <c r="BO21" s="60">
        <f t="shared" si="27"/>
        <v>16949070.127570502</v>
      </c>
      <c r="BP21" s="60">
        <f t="shared" si="27"/>
        <v>16990805.593365997</v>
      </c>
      <c r="BQ21" s="61">
        <f t="shared" si="2"/>
        <v>750781170.39112222</v>
      </c>
      <c r="BR21" s="143" t="s">
        <v>122</v>
      </c>
      <c r="BS21" s="143"/>
      <c r="BT21" s="144">
        <f>SUM(G21:R21)</f>
        <v>60860330.286679283</v>
      </c>
      <c r="BU21" s="144">
        <f>SUM(T21:AE21)</f>
        <v>130957343.00937912</v>
      </c>
      <c r="BV21" s="144">
        <f>SUM(AG21:AR21)</f>
        <v>168904603.27705786</v>
      </c>
      <c r="BW21" s="144">
        <f>SUM(AS21:BD21)</f>
        <v>189469376.35497561</v>
      </c>
      <c r="BX21" s="144">
        <f>SUM(BE21:BP21)</f>
        <v>200589517.46303028</v>
      </c>
      <c r="BY21" s="61"/>
    </row>
    <row r="22" spans="2:78" s="93" customFormat="1" ht="17.100000000000001" customHeight="1" x14ac:dyDescent="0.3">
      <c r="C22" s="93" t="s">
        <v>186</v>
      </c>
      <c r="D22" s="131"/>
      <c r="E22" s="101" t="s">
        <v>108</v>
      </c>
      <c r="F22" s="94">
        <v>50</v>
      </c>
      <c r="G22" s="99">
        <f>(((G10)*Packages!$J$5)*Packages!$N$5)+(((G10)*Packages!$J$6)*Packages!$N$6)+(((G10)*Packages!$J$7)*Packages!$N$7)+(((G10)*Packages!$J$8)*Packages!$N$8)</f>
        <v>665116.12928000011</v>
      </c>
      <c r="H22" s="99">
        <f>(((H10)*Packages!$J$5)*Packages!$N$5)+(((H10)*Packages!$J$6)*Packages!$N$6)+(((H10)*Packages!$J$7)*Packages!$N$7)+(((H10)*Packages!$J$8)*Packages!$N$8)</f>
        <v>1296976.4520959998</v>
      </c>
      <c r="I22" s="99">
        <f>(((I10)*Packages!$J$5)*Packages!$N$5)+(((I10)*Packages!$J$6)*Packages!$N$6)+(((I10)*Packages!$J$7)*Packages!$N$7)+(((I10)*Packages!$J$8)*Packages!$N$8)</f>
        <v>1897243.7587712</v>
      </c>
      <c r="J22" s="99">
        <f>(((J10)*Packages!$J$5)*Packages!$N$5)+(((J10)*Packages!$J$6)*Packages!$N$6)+(((J10)*Packages!$J$7)*Packages!$N$7)+(((J10)*Packages!$J$8)*Packages!$N$8)</f>
        <v>2467497.7001126404</v>
      </c>
      <c r="K22" s="99">
        <f>(((K10)*Packages!$J$5)*Packages!$N$5)+(((K10)*Packages!$J$6)*Packages!$N$6)+(((K10)*Packages!$J$7)*Packages!$N$7)+(((K10)*Packages!$J$8)*Packages!$N$8)</f>
        <v>3009238.9443870084</v>
      </c>
      <c r="L22" s="99">
        <f>(((L10)*Packages!$J$5)*Packages!$N$5)+(((L10)*Packages!$J$6)*Packages!$N$6)+(((L10)*Packages!$J$7)*Packages!$N$7)+(((L10)*Packages!$J$8)*Packages!$N$8)</f>
        <v>3523893.1264476571</v>
      </c>
      <c r="M22" s="99">
        <f>(((M10)*Packages!$J$5)*Packages!$N$5)+(((M10)*Packages!$J$6)*Packages!$N$6)+(((M10)*Packages!$J$7)*Packages!$N$7)+(((M10)*Packages!$J$8)*Packages!$N$8)</f>
        <v>4012814.5994052747</v>
      </c>
      <c r="N22" s="99">
        <f>(((N10)*Packages!$J$5)*Packages!$N$5)+(((N10)*Packages!$J$6)*Packages!$N$6)+(((N10)*Packages!$J$7)*Packages!$N$7)+(((N10)*Packages!$J$8)*Packages!$N$8)</f>
        <v>4477289.9987150123</v>
      </c>
      <c r="O22" s="99">
        <f>(((O10)*Packages!$J$5)*Packages!$N$5)+(((O10)*Packages!$J$6)*Packages!$N$6)+(((O10)*Packages!$J$7)*Packages!$N$7)+(((O10)*Packages!$J$8)*Packages!$N$8)</f>
        <v>4918541.6280592615</v>
      </c>
      <c r="P22" s="99">
        <f>(((P10)*Packages!$J$5)*Packages!$N$5)+(((P10)*Packages!$J$6)*Packages!$N$6)+(((P10)*Packages!$J$7)*Packages!$N$7)+(((P10)*Packages!$J$8)*Packages!$N$8)</f>
        <v>5337730.6759362975</v>
      </c>
      <c r="Q22" s="99">
        <f>(((Q10)*Packages!$J$5)*Packages!$N$5)+(((Q10)*Packages!$J$6)*Packages!$N$6)+(((Q10)*Packages!$J$7)*Packages!$N$7)+(((Q10)*Packages!$J$8)*Packages!$N$8)</f>
        <v>5735960.2714194832</v>
      </c>
      <c r="R22" s="99">
        <f>(((R10)*Packages!$J$5)*Packages!$N$5)+(((R10)*Packages!$J$6)*Packages!$N$6)+(((R10)*Packages!$J$7)*Packages!$N$7)+(((R10)*Packages!$J$8)*Packages!$N$8)</f>
        <v>6114278.3871285086</v>
      </c>
      <c r="S22" s="265">
        <f>SUM(G22:R22)</f>
        <v>43456581.671758346</v>
      </c>
      <c r="T22" s="99">
        <f>(((T10)*Packages!$J$5)*Packages!$N$5)+(((T10)*Packages!$J$6)*Packages!$N$6)+(((T10)*Packages!$J$7)*Packages!$N$7)+(((T10)*Packages!$J$8)*Packages!$N$8)</f>
        <v>6473680.5970520834</v>
      </c>
      <c r="U22" s="99">
        <f>(((U10)*Packages!$J$5)*Packages!$N$5)+(((U10)*Packages!$J$6)*Packages!$N$6)+(((U10)*Packages!$J$7)*Packages!$N$7)+(((U10)*Packages!$J$8)*Packages!$N$8)</f>
        <v>6815112.6964794798</v>
      </c>
      <c r="V22" s="99">
        <f>(((V10)*Packages!$J$5)*Packages!$N$5)+(((V10)*Packages!$J$6)*Packages!$N$6)+(((V10)*Packages!$J$7)*Packages!$N$7)+(((V10)*Packages!$J$8)*Packages!$N$8)</f>
        <v>7139473.1909355065</v>
      </c>
      <c r="W22" s="99">
        <f>(((W10)*Packages!$J$5)*Packages!$N$5)+(((W10)*Packages!$J$6)*Packages!$N$6)+(((W10)*Packages!$J$7)*Packages!$N$7)+(((W10)*Packages!$J$8)*Packages!$N$8)</f>
        <v>7447615.6606687317</v>
      </c>
      <c r="X22" s="99">
        <f>(((X10)*Packages!$J$5)*Packages!$N$5)+(((X10)*Packages!$J$6)*Packages!$N$6)+(((X10)*Packages!$J$7)*Packages!$N$7)+(((X10)*Packages!$J$8)*Packages!$N$8)</f>
        <v>7740351.0069152955</v>
      </c>
      <c r="Y22" s="99">
        <f>(((Y10)*Packages!$J$5)*Packages!$N$5)+(((Y10)*Packages!$J$6)*Packages!$N$6)+(((Y10)*Packages!$J$7)*Packages!$N$7)+(((Y10)*Packages!$J$8)*Packages!$N$8)</f>
        <v>8018449.5858495301</v>
      </c>
      <c r="Z22" s="99">
        <f>(((Z10)*Packages!$J$5)*Packages!$N$5)+(((Z10)*Packages!$J$6)*Packages!$N$6)+(((Z10)*Packages!$J$7)*Packages!$N$7)+(((Z10)*Packages!$J$8)*Packages!$N$8)</f>
        <v>8282643.2358370535</v>
      </c>
      <c r="AA22" s="99">
        <f>(((AA10)*Packages!$J$5)*Packages!$N$5)+(((AA10)*Packages!$J$6)*Packages!$N$6)+(((AA10)*Packages!$J$7)*Packages!$N$7)+(((AA10)*Packages!$J$8)*Packages!$N$8)</f>
        <v>8533627.2033252008</v>
      </c>
      <c r="AB22" s="99">
        <f>(((AB10)*Packages!$J$5)*Packages!$N$5)+(((AB10)*Packages!$J$6)*Packages!$N$6)+(((AB10)*Packages!$J$7)*Packages!$N$7)+(((AB10)*Packages!$J$8)*Packages!$N$8)</f>
        <v>8772061.9724389408</v>
      </c>
      <c r="AC22" s="99">
        <f>(((AC10)*Packages!$J$5)*Packages!$N$5)+(((AC10)*Packages!$J$6)*Packages!$N$6)+(((AC10)*Packages!$J$7)*Packages!$N$7)+(((AC10)*Packages!$J$8)*Packages!$N$8)</f>
        <v>8998575.0030969921</v>
      </c>
      <c r="AD22" s="99">
        <f>(((AD10)*Packages!$J$5)*Packages!$N$5)+(((AD10)*Packages!$J$6)*Packages!$N$6)+(((AD10)*Packages!$J$7)*Packages!$N$7)+(((AD10)*Packages!$J$8)*Packages!$N$8)</f>
        <v>9213762.3822221458</v>
      </c>
      <c r="AE22" s="99">
        <f>(((AE10)*Packages!$J$5)*Packages!$N$5)+(((AE10)*Packages!$J$6)*Packages!$N$6)+(((AE10)*Packages!$J$7)*Packages!$N$7)+(((AE10)*Packages!$J$8)*Packages!$N$8)</f>
        <v>9418190.3923910372</v>
      </c>
      <c r="AF22" s="99">
        <f>SUM(T22:AE22)</f>
        <v>96853542.927212015</v>
      </c>
      <c r="AG22" s="99">
        <f>(((AG10)*Packages!$J$5)*Packages!$N$5)+(((AG10)*Packages!$J$6)*Packages!$N$6)+(((AG10)*Packages!$J$7)*Packages!$N$7)+(((AG10)*Packages!$J$8)*Packages!$N$8)</f>
        <v>9612397.0020514857</v>
      </c>
      <c r="AH22" s="99">
        <f>(((AH10)*Packages!$J$5)*Packages!$N$5)+(((AH10)*Packages!$J$6)*Packages!$N$6)+(((AH10)*Packages!$J$7)*Packages!$N$7)+(((AH10)*Packages!$J$8)*Packages!$N$8)</f>
        <v>9796893.2812289111</v>
      </c>
      <c r="AI22" s="99">
        <f>(((AI10)*Packages!$J$5)*Packages!$N$5)+(((AI10)*Packages!$J$6)*Packages!$N$6)+(((AI10)*Packages!$J$7)*Packages!$N$7)+(((AI10)*Packages!$J$8)*Packages!$N$8)</f>
        <v>9972164.7464474645</v>
      </c>
      <c r="AJ22" s="99">
        <f>(((AJ10)*Packages!$J$5)*Packages!$N$5)+(((AJ10)*Packages!$J$6)*Packages!$N$6)+(((AJ10)*Packages!$J$7)*Packages!$N$7)+(((AJ10)*Packages!$J$8)*Packages!$N$8)</f>
        <v>10138672.638405092</v>
      </c>
      <c r="AK22" s="99">
        <f>(((AK10)*Packages!$J$5)*Packages!$N$5)+(((AK10)*Packages!$J$6)*Packages!$N$6)+(((AK10)*Packages!$J$7)*Packages!$N$7)+(((AK10)*Packages!$J$8)*Packages!$N$8)</f>
        <v>10296855.135764835</v>
      </c>
      <c r="AL22" s="99">
        <f>(((AL10)*Packages!$J$5)*Packages!$N$5)+(((AL10)*Packages!$J$6)*Packages!$N$6)+(((AL10)*Packages!$J$7)*Packages!$N$7)+(((AL10)*Packages!$J$8)*Packages!$N$8)</f>
        <v>10447128.508256597</v>
      </c>
      <c r="AM22" s="99">
        <f>(((AM10)*Packages!$J$5)*Packages!$N$5)+(((AM10)*Packages!$J$6)*Packages!$N$6)+(((AM10)*Packages!$J$7)*Packages!$N$7)+(((AM10)*Packages!$J$8)*Packages!$N$8)</f>
        <v>10589888.212123767</v>
      </c>
      <c r="AN22" s="99">
        <f>(((AN10)*Packages!$J$5)*Packages!$N$5)+(((AN10)*Packages!$J$6)*Packages!$N$6)+(((AN10)*Packages!$J$7)*Packages!$N$7)+(((AN10)*Packages!$J$8)*Packages!$N$8)</f>
        <v>10725509.930797577</v>
      </c>
      <c r="AO22" s="99">
        <f>(((AO10)*Packages!$J$5)*Packages!$N$5)+(((AO10)*Packages!$J$6)*Packages!$N$6)+(((AO10)*Packages!$J$7)*Packages!$N$7)+(((AO10)*Packages!$J$8)*Packages!$N$8)</f>
        <v>10854350.5635377</v>
      </c>
      <c r="AP22" s="99">
        <f>(((AP10)*Packages!$J$5)*Packages!$N$5)+(((AP10)*Packages!$J$6)*Packages!$N$6)+(((AP10)*Packages!$J$7)*Packages!$N$7)+(((AP10)*Packages!$J$8)*Packages!$N$8)</f>
        <v>10976749.164640814</v>
      </c>
      <c r="AQ22" s="99">
        <f>(((AQ10)*Packages!$J$5)*Packages!$N$5)+(((AQ10)*Packages!$J$6)*Packages!$N$6)+(((AQ10)*Packages!$J$7)*Packages!$N$7)+(((AQ10)*Packages!$J$8)*Packages!$N$8)</f>
        <v>11093027.835688772</v>
      </c>
      <c r="AR22" s="99">
        <f>(((AR10)*Packages!$J$5)*Packages!$N$5)+(((AR10)*Packages!$J$6)*Packages!$N$6)+(((AR10)*Packages!$J$7)*Packages!$N$7)+(((AR10)*Packages!$J$8)*Packages!$N$8)</f>
        <v>11203492.573184334</v>
      </c>
      <c r="AS22" s="99">
        <f>(((AS10)*Packages!$J$5)*Packages!$N$5)+(((AS10)*Packages!$J$6)*Packages!$N$6)+(((AS10)*Packages!$J$7)*Packages!$N$7)+(((AS10)*Packages!$J$8)*Packages!$N$8)</f>
        <v>11308434.073805116</v>
      </c>
      <c r="AT22" s="99">
        <f>(((AT10)*Packages!$J$5)*Packages!$N$5)+(((AT10)*Packages!$J$6)*Packages!$N$6)+(((AT10)*Packages!$J$7)*Packages!$N$7)+(((AT10)*Packages!$J$8)*Packages!$N$8)</f>
        <v>11408128.49939486</v>
      </c>
      <c r="AU22" s="99">
        <f>(((AU10)*Packages!$J$5)*Packages!$N$5)+(((AU10)*Packages!$J$6)*Packages!$N$6)+(((AU10)*Packages!$J$7)*Packages!$N$7)+(((AU10)*Packages!$J$8)*Packages!$N$8)</f>
        <v>11502838.203705117</v>
      </c>
      <c r="AV22" s="99">
        <f>(((AV10)*Packages!$J$5)*Packages!$N$5)+(((AV10)*Packages!$J$6)*Packages!$N$6)+(((AV10)*Packages!$J$7)*Packages!$N$7)+(((AV10)*Packages!$J$8)*Packages!$N$8)</f>
        <v>11592812.422799861</v>
      </c>
      <c r="AW22" s="99">
        <f>(((AW10)*Packages!$J$5)*Packages!$N$5)+(((AW10)*Packages!$J$6)*Packages!$N$6)+(((AW10)*Packages!$J$7)*Packages!$N$7)+(((AW10)*Packages!$J$8)*Packages!$N$8)</f>
        <v>11678287.930939868</v>
      </c>
      <c r="AX22" s="99">
        <f>(((AX10)*Packages!$J$5)*Packages!$N$5)+(((AX10)*Packages!$J$6)*Packages!$N$6)+(((AX10)*Packages!$J$7)*Packages!$N$7)+(((AX10)*Packages!$J$8)*Packages!$N$8)</f>
        <v>11759489.663672876</v>
      </c>
      <c r="AY22" s="99">
        <f>(((AY10)*Packages!$J$5)*Packages!$N$5)+(((AY10)*Packages!$J$6)*Packages!$N$6)+(((AY10)*Packages!$J$7)*Packages!$N$7)+(((AY10)*Packages!$J$8)*Packages!$N$8)</f>
        <v>11836631.309769234</v>
      </c>
      <c r="AZ22" s="99">
        <f>(((AZ10)*Packages!$J$5)*Packages!$N$5)+(((AZ10)*Packages!$J$6)*Packages!$N$6)+(((AZ10)*Packages!$J$7)*Packages!$N$7)+(((AZ10)*Packages!$J$8)*Packages!$N$8)</f>
        <v>11909915.873560768</v>
      </c>
      <c r="BA22" s="99">
        <f>(((BA10)*Packages!$J$5)*Packages!$N$5)+(((BA10)*Packages!$J$6)*Packages!$N$6)+(((BA10)*Packages!$J$7)*Packages!$N$7)+(((BA10)*Packages!$J$8)*Packages!$N$8)</f>
        <v>11979536.209162731</v>
      </c>
      <c r="BB22" s="99">
        <f>(((BB10)*Packages!$J$5)*Packages!$N$5)+(((BB10)*Packages!$J$6)*Packages!$N$6)+(((BB10)*Packages!$J$7)*Packages!$N$7)+(((BB10)*Packages!$J$8)*Packages!$N$8)</f>
        <v>12045675.527984597</v>
      </c>
      <c r="BC22" s="99">
        <f>(((BC10)*Packages!$J$5)*Packages!$N$5)+(((BC10)*Packages!$J$6)*Packages!$N$6)+(((BC10)*Packages!$J$7)*Packages!$N$7)+(((BC10)*Packages!$J$8)*Packages!$N$8)</f>
        <v>12108507.880865365</v>
      </c>
      <c r="BD22" s="99">
        <f>(((BD10)*Packages!$J$5)*Packages!$N$5)+(((BD10)*Packages!$J$6)*Packages!$N$6)+(((BD10)*Packages!$J$7)*Packages!$N$7)+(((BD10)*Packages!$J$8)*Packages!$N$8)</f>
        <v>12168198.616102096</v>
      </c>
      <c r="BE22" s="99">
        <f>(((BE10)*Packages!$J$5)*Packages!$N$5)+(((BE10)*Packages!$J$6)*Packages!$N$6)+(((BE10)*Packages!$J$7)*Packages!$N$7)+(((BE10)*Packages!$J$8)*Packages!$N$8)</f>
        <v>12224904.814576991</v>
      </c>
      <c r="BF22" s="99">
        <f>(((BF10)*Packages!$J$5)*Packages!$N$5)+(((BF10)*Packages!$J$6)*Packages!$N$6)+(((BF10)*Packages!$J$7)*Packages!$N$7)+(((BF10)*Packages!$J$8)*Packages!$N$8)</f>
        <v>12278775.703128142</v>
      </c>
      <c r="BG22" s="99">
        <f>(((BG10)*Packages!$J$5)*Packages!$N$5)+(((BG10)*Packages!$J$6)*Packages!$N$6)+(((BG10)*Packages!$J$7)*Packages!$N$7)+(((BG10)*Packages!$J$8)*Packages!$N$8)</f>
        <v>12329953.047251737</v>
      </c>
      <c r="BH22" s="99">
        <f>(((BH10)*Packages!$J$5)*Packages!$N$5)+(((BH10)*Packages!$J$6)*Packages!$N$6)+(((BH10)*Packages!$J$7)*Packages!$N$7)+(((BH10)*Packages!$J$8)*Packages!$N$8)</f>
        <v>12378571.524169147</v>
      </c>
      <c r="BI22" s="99">
        <f>(((BI10)*Packages!$J$5)*Packages!$N$5)+(((BI10)*Packages!$J$6)*Packages!$N$6)+(((BI10)*Packages!$J$7)*Packages!$N$7)+(((BI10)*Packages!$J$8)*Packages!$N$8)</f>
        <v>12424759.077240694</v>
      </c>
      <c r="BJ22" s="99">
        <f>(((BJ10)*Packages!$J$5)*Packages!$N$5)+(((BJ10)*Packages!$J$6)*Packages!$N$6)+(((BJ10)*Packages!$J$7)*Packages!$N$7)+(((BJ10)*Packages!$J$8)*Packages!$N$8)</f>
        <v>12468637.25265866</v>
      </c>
      <c r="BK22" s="99">
        <f>(((BK10)*Packages!$J$5)*Packages!$N$5)+(((BK10)*Packages!$J$6)*Packages!$N$6)+(((BK10)*Packages!$J$7)*Packages!$N$7)+(((BK10)*Packages!$J$8)*Packages!$N$8)</f>
        <v>12510321.519305725</v>
      </c>
      <c r="BL22" s="99">
        <f>(((BL10)*Packages!$J$5)*Packages!$N$5)+(((BL10)*Packages!$J$6)*Packages!$N$6)+(((BL10)*Packages!$J$7)*Packages!$N$7)+(((BL10)*Packages!$J$8)*Packages!$N$8)</f>
        <v>12549921.57262044</v>
      </c>
      <c r="BM22" s="99">
        <f>(((BM10)*Packages!$J$5)*Packages!$N$5)+(((BM10)*Packages!$J$6)*Packages!$N$6)+(((BM10)*Packages!$J$7)*Packages!$N$7)+(((BM10)*Packages!$J$8)*Packages!$N$8)</f>
        <v>12587541.623269418</v>
      </c>
      <c r="BN22" s="99">
        <f>(((BN10)*Packages!$J$5)*Packages!$N$5)+(((BN10)*Packages!$J$6)*Packages!$N$6)+(((BN10)*Packages!$J$7)*Packages!$N$7)+(((BN10)*Packages!$J$8)*Packages!$N$8)</f>
        <v>12623280.671385948</v>
      </c>
      <c r="BO22" s="99">
        <f>(((BO10)*Packages!$J$5)*Packages!$N$5)+(((BO10)*Packages!$J$6)*Packages!$N$6)+(((BO10)*Packages!$J$7)*Packages!$N$7)+(((BO10)*Packages!$J$8)*Packages!$N$8)</f>
        <v>12657232.76709665</v>
      </c>
      <c r="BP22" s="99">
        <f>(((BP10)*Packages!$J$5)*Packages!$N$5)+(((BP10)*Packages!$J$6)*Packages!$N$6)+(((BP10)*Packages!$J$7)*Packages!$N$7)+(((BP10)*Packages!$J$8)*Packages!$N$8)</f>
        <v>12689487.258021817</v>
      </c>
      <c r="BQ22" s="61">
        <f t="shared" si="2"/>
        <v>557039097.23358548</v>
      </c>
      <c r="BR22" s="145"/>
      <c r="BS22" s="146" t="s">
        <v>155</v>
      </c>
      <c r="BT22" s="147">
        <f t="shared" ref="BT22:BT36" si="28">SUM(G22:R22)</f>
        <v>43456581.671758346</v>
      </c>
      <c r="BU22" s="147">
        <f t="shared" ref="BU22:BU36" si="29">SUM(T22:AE22)</f>
        <v>96853542.927212015</v>
      </c>
      <c r="BV22" s="147">
        <f t="shared" ref="BV22:BV36" si="30">SUM(AG22:AR22)</f>
        <v>125707129.59212735</v>
      </c>
      <c r="BW22" s="147">
        <f t="shared" ref="BW22:BW36" si="31">SUM(AS22:BD22)</f>
        <v>141298456.21176249</v>
      </c>
      <c r="BX22" s="147">
        <f t="shared" ref="BX22:BX31" si="32">SUM(BE22:BP22)</f>
        <v>149723386.83072537</v>
      </c>
      <c r="BY22" s="39">
        <f>BQ22</f>
        <v>557039097.23358548</v>
      </c>
    </row>
    <row r="23" spans="2:78" s="93" customFormat="1" ht="27.6" customHeight="1" x14ac:dyDescent="0.3">
      <c r="D23" s="276" t="s">
        <v>3</v>
      </c>
      <c r="E23" s="276"/>
      <c r="F23" s="94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20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99"/>
      <c r="BO23" s="99"/>
      <c r="BP23" s="99"/>
      <c r="BQ23" s="61"/>
      <c r="BR23" s="277" t="s">
        <v>3</v>
      </c>
      <c r="BS23" s="277"/>
      <c r="BT23" s="147"/>
      <c r="BU23" s="147"/>
      <c r="BV23" s="147"/>
      <c r="BW23" s="147"/>
      <c r="BX23" s="147"/>
      <c r="BY23" s="39"/>
    </row>
    <row r="24" spans="2:78" s="93" customFormat="1" x14ac:dyDescent="0.3">
      <c r="D24" s="131"/>
      <c r="E24" s="132" t="s">
        <v>154</v>
      </c>
      <c r="F24" s="94"/>
      <c r="G24" s="96">
        <f t="shared" ref="G24:AN24" si="33">G22/G18</f>
        <v>0.51030339231426125</v>
      </c>
      <c r="H24" s="96">
        <f t="shared" si="33"/>
        <v>0.51030339231426114</v>
      </c>
      <c r="I24" s="96">
        <f t="shared" si="33"/>
        <v>0.51030339231426125</v>
      </c>
      <c r="J24" s="96">
        <f t="shared" si="33"/>
        <v>0.51030339231426136</v>
      </c>
      <c r="K24" s="96">
        <f t="shared" si="33"/>
        <v>0.51030339231426136</v>
      </c>
      <c r="L24" s="96">
        <f t="shared" si="33"/>
        <v>0.51030339231426125</v>
      </c>
      <c r="M24" s="96">
        <f t="shared" si="33"/>
        <v>0.51030339231426125</v>
      </c>
      <c r="N24" s="96">
        <f t="shared" si="33"/>
        <v>0.51030339231426147</v>
      </c>
      <c r="O24" s="96">
        <f t="shared" si="33"/>
        <v>0.51030339231426125</v>
      </c>
      <c r="P24" s="96">
        <f t="shared" si="33"/>
        <v>0.51030339231426125</v>
      </c>
      <c r="Q24" s="96">
        <f t="shared" si="33"/>
        <v>0.51030339231426136</v>
      </c>
      <c r="R24" s="96">
        <f t="shared" si="33"/>
        <v>0.51030339231426125</v>
      </c>
      <c r="S24" s="210"/>
      <c r="T24" s="96">
        <f t="shared" si="33"/>
        <v>0.51030339231426125</v>
      </c>
      <c r="U24" s="96">
        <f t="shared" si="33"/>
        <v>0.51030339231426125</v>
      </c>
      <c r="V24" s="96">
        <f t="shared" si="33"/>
        <v>0.51030339231426125</v>
      </c>
      <c r="W24" s="96">
        <f t="shared" si="33"/>
        <v>0.51030339231426125</v>
      </c>
      <c r="X24" s="96">
        <f t="shared" si="33"/>
        <v>0.51030339231426125</v>
      </c>
      <c r="Y24" s="96">
        <f t="shared" si="33"/>
        <v>0.51030339231426136</v>
      </c>
      <c r="Z24" s="96">
        <f t="shared" si="33"/>
        <v>0.51030339231426136</v>
      </c>
      <c r="AA24" s="96">
        <f t="shared" si="33"/>
        <v>0.51030339231426136</v>
      </c>
      <c r="AB24" s="96">
        <f t="shared" si="33"/>
        <v>0.51030339231426125</v>
      </c>
      <c r="AC24" s="96">
        <f t="shared" si="33"/>
        <v>0.51030339231426125</v>
      </c>
      <c r="AD24" s="96">
        <f t="shared" si="33"/>
        <v>0.51030339231426147</v>
      </c>
      <c r="AE24" s="96">
        <f t="shared" si="33"/>
        <v>0.51030339231426125</v>
      </c>
      <c r="AF24" s="96"/>
      <c r="AG24" s="96">
        <f t="shared" si="33"/>
        <v>0.51030339231426147</v>
      </c>
      <c r="AH24" s="96">
        <f t="shared" si="33"/>
        <v>0.51030339231426114</v>
      </c>
      <c r="AI24" s="96">
        <f t="shared" si="33"/>
        <v>0.51030339231426125</v>
      </c>
      <c r="AJ24" s="96">
        <f t="shared" si="33"/>
        <v>0.51030339231426125</v>
      </c>
      <c r="AK24" s="96">
        <f t="shared" si="33"/>
        <v>0.51030339231426125</v>
      </c>
      <c r="AL24" s="96">
        <f t="shared" si="33"/>
        <v>0.51030339231426136</v>
      </c>
      <c r="AM24" s="96">
        <f t="shared" si="33"/>
        <v>0.51030339231426125</v>
      </c>
      <c r="AN24" s="96">
        <f t="shared" si="33"/>
        <v>0.51030339231426114</v>
      </c>
      <c r="AO24" s="96">
        <f t="shared" ref="AO24:BP24" si="34">AO22/AO18</f>
        <v>0.51030339231426125</v>
      </c>
      <c r="AP24" s="96">
        <f t="shared" si="34"/>
        <v>0.51030339231426125</v>
      </c>
      <c r="AQ24" s="96">
        <f t="shared" si="34"/>
        <v>0.51030339231426125</v>
      </c>
      <c r="AR24" s="96">
        <f t="shared" si="34"/>
        <v>0.51030339231426125</v>
      </c>
      <c r="AS24" s="96">
        <f t="shared" si="34"/>
        <v>0.51030339231426125</v>
      </c>
      <c r="AT24" s="96">
        <f t="shared" si="34"/>
        <v>0.51030339231426114</v>
      </c>
      <c r="AU24" s="96">
        <f t="shared" si="34"/>
        <v>0.51030339231426114</v>
      </c>
      <c r="AV24" s="96">
        <f t="shared" si="34"/>
        <v>0.51030339231426114</v>
      </c>
      <c r="AW24" s="96">
        <f t="shared" si="34"/>
        <v>0.51030339231426125</v>
      </c>
      <c r="AX24" s="96">
        <f t="shared" si="34"/>
        <v>0.51030339231426125</v>
      </c>
      <c r="AY24" s="96">
        <f t="shared" si="34"/>
        <v>0.51030339231426136</v>
      </c>
      <c r="AZ24" s="96">
        <f t="shared" si="34"/>
        <v>0.51030339231426125</v>
      </c>
      <c r="BA24" s="96">
        <f t="shared" si="34"/>
        <v>0.51030339231426136</v>
      </c>
      <c r="BB24" s="96">
        <f t="shared" si="34"/>
        <v>0.51030339231426136</v>
      </c>
      <c r="BC24" s="96">
        <f t="shared" si="34"/>
        <v>0.51030339231426125</v>
      </c>
      <c r="BD24" s="96">
        <f t="shared" si="34"/>
        <v>0.51030339231426136</v>
      </c>
      <c r="BE24" s="96">
        <f t="shared" si="34"/>
        <v>0.51030339231426136</v>
      </c>
      <c r="BF24" s="96">
        <f t="shared" si="34"/>
        <v>0.51030339231426125</v>
      </c>
      <c r="BG24" s="96">
        <f t="shared" si="34"/>
        <v>0.51030339231426136</v>
      </c>
      <c r="BH24" s="96">
        <f t="shared" si="34"/>
        <v>0.51030339231426125</v>
      </c>
      <c r="BI24" s="96">
        <f t="shared" si="34"/>
        <v>0.51030339231426147</v>
      </c>
      <c r="BJ24" s="96">
        <f t="shared" si="34"/>
        <v>0.51030339231426125</v>
      </c>
      <c r="BK24" s="96">
        <f t="shared" si="34"/>
        <v>0.51030339231426136</v>
      </c>
      <c r="BL24" s="96">
        <f t="shared" si="34"/>
        <v>0.51030339231426125</v>
      </c>
      <c r="BM24" s="96">
        <f t="shared" si="34"/>
        <v>0.51030339231426136</v>
      </c>
      <c r="BN24" s="96">
        <f t="shared" si="34"/>
        <v>0.51030339231426136</v>
      </c>
      <c r="BO24" s="96">
        <f t="shared" si="34"/>
        <v>0.51030339231426125</v>
      </c>
      <c r="BP24" s="96">
        <f t="shared" si="34"/>
        <v>0.51030339231426136</v>
      </c>
      <c r="BQ24" s="61">
        <f t="shared" si="2"/>
        <v>30.618203538855635</v>
      </c>
      <c r="BR24" s="145"/>
      <c r="BS24" s="148" t="s">
        <v>154</v>
      </c>
      <c r="BT24" s="149">
        <v>0.51</v>
      </c>
      <c r="BU24" s="149">
        <v>0.51</v>
      </c>
      <c r="BV24" s="149">
        <v>0.51</v>
      </c>
      <c r="BW24" s="149">
        <v>0.51</v>
      </c>
      <c r="BX24" s="149">
        <v>0.51</v>
      </c>
      <c r="BY24" s="39"/>
    </row>
    <row r="25" spans="2:78" s="93" customFormat="1" x14ac:dyDescent="0.3">
      <c r="F25" s="97"/>
      <c r="S25" s="198"/>
      <c r="BQ25" s="61"/>
      <c r="BR25" s="146"/>
      <c r="BS25" s="146"/>
      <c r="BT25" s="146"/>
      <c r="BU25" s="146"/>
      <c r="BV25" s="146"/>
      <c r="BW25" s="146"/>
      <c r="BX25" s="146"/>
    </row>
    <row r="26" spans="2:78" s="244" customFormat="1" x14ac:dyDescent="0.3">
      <c r="C26" s="244" t="s">
        <v>186</v>
      </c>
      <c r="D26" s="245" t="s">
        <v>110</v>
      </c>
      <c r="E26" s="246"/>
      <c r="F26" s="247">
        <v>3</v>
      </c>
      <c r="G26" s="248">
        <f>G20*25000</f>
        <v>50000</v>
      </c>
      <c r="H26" s="248">
        <f t="shared" ref="H26:BP26" si="35">H20*25000</f>
        <v>50000</v>
      </c>
      <c r="I26" s="248">
        <f t="shared" si="35"/>
        <v>75000</v>
      </c>
      <c r="J26" s="248">
        <f t="shared" si="35"/>
        <v>75000</v>
      </c>
      <c r="K26" s="248">
        <f t="shared" si="35"/>
        <v>100000</v>
      </c>
      <c r="L26" s="248">
        <f t="shared" si="35"/>
        <v>125000</v>
      </c>
      <c r="M26" s="248">
        <f t="shared" si="35"/>
        <v>125000</v>
      </c>
      <c r="N26" s="248">
        <f t="shared" si="35"/>
        <v>125000</v>
      </c>
      <c r="O26" s="248">
        <f t="shared" si="35"/>
        <v>150000</v>
      </c>
      <c r="P26" s="248">
        <f t="shared" si="35"/>
        <v>150000</v>
      </c>
      <c r="Q26" s="248">
        <f t="shared" si="35"/>
        <v>175000</v>
      </c>
      <c r="R26" s="248">
        <f t="shared" si="35"/>
        <v>175000</v>
      </c>
      <c r="S26" s="266">
        <f>SUM(F26:R26)</f>
        <v>1375003</v>
      </c>
      <c r="T26" s="248">
        <f t="shared" si="35"/>
        <v>175000</v>
      </c>
      <c r="U26" s="248">
        <f t="shared" si="35"/>
        <v>175000</v>
      </c>
      <c r="V26" s="248">
        <f t="shared" si="35"/>
        <v>200000</v>
      </c>
      <c r="W26" s="248">
        <f t="shared" si="35"/>
        <v>200000</v>
      </c>
      <c r="X26" s="248">
        <f t="shared" si="35"/>
        <v>200000</v>
      </c>
      <c r="Y26" s="248">
        <f t="shared" si="35"/>
        <v>225000</v>
      </c>
      <c r="Z26" s="248">
        <f t="shared" si="35"/>
        <v>225000</v>
      </c>
      <c r="AA26" s="248">
        <f t="shared" si="35"/>
        <v>225000</v>
      </c>
      <c r="AB26" s="248">
        <f t="shared" si="35"/>
        <v>225000</v>
      </c>
      <c r="AC26" s="248">
        <f t="shared" si="35"/>
        <v>225000</v>
      </c>
      <c r="AD26" s="248">
        <f t="shared" si="35"/>
        <v>250000</v>
      </c>
      <c r="AE26" s="248">
        <f t="shared" si="35"/>
        <v>250000</v>
      </c>
      <c r="AF26" s="248"/>
      <c r="AG26" s="248">
        <f t="shared" si="35"/>
        <v>250000</v>
      </c>
      <c r="AH26" s="248">
        <f t="shared" si="35"/>
        <v>250000</v>
      </c>
      <c r="AI26" s="248">
        <f t="shared" si="35"/>
        <v>250000</v>
      </c>
      <c r="AJ26" s="248">
        <f t="shared" si="35"/>
        <v>250000</v>
      </c>
      <c r="AK26" s="248">
        <f t="shared" si="35"/>
        <v>250000</v>
      </c>
      <c r="AL26" s="248">
        <f t="shared" si="35"/>
        <v>250000</v>
      </c>
      <c r="AM26" s="248">
        <f t="shared" si="35"/>
        <v>250000</v>
      </c>
      <c r="AN26" s="248">
        <f t="shared" si="35"/>
        <v>275000</v>
      </c>
      <c r="AO26" s="248">
        <f t="shared" si="35"/>
        <v>275000</v>
      </c>
      <c r="AP26" s="248">
        <f t="shared" si="35"/>
        <v>275000</v>
      </c>
      <c r="AQ26" s="248">
        <f t="shared" si="35"/>
        <v>275000</v>
      </c>
      <c r="AR26" s="248">
        <f t="shared" si="35"/>
        <v>275000</v>
      </c>
      <c r="AS26" s="248">
        <f t="shared" si="35"/>
        <v>275000</v>
      </c>
      <c r="AT26" s="248">
        <f t="shared" si="35"/>
        <v>275000</v>
      </c>
      <c r="AU26" s="248">
        <f t="shared" si="35"/>
        <v>275000</v>
      </c>
      <c r="AV26" s="248">
        <f t="shared" si="35"/>
        <v>275000</v>
      </c>
      <c r="AW26" s="248">
        <f t="shared" si="35"/>
        <v>275000</v>
      </c>
      <c r="AX26" s="248">
        <f t="shared" si="35"/>
        <v>275000</v>
      </c>
      <c r="AY26" s="248">
        <f t="shared" si="35"/>
        <v>300000</v>
      </c>
      <c r="AZ26" s="248">
        <f t="shared" si="35"/>
        <v>300000</v>
      </c>
      <c r="BA26" s="248">
        <f t="shared" si="35"/>
        <v>300000</v>
      </c>
      <c r="BB26" s="248">
        <f t="shared" si="35"/>
        <v>300000</v>
      </c>
      <c r="BC26" s="248">
        <f t="shared" si="35"/>
        <v>300000</v>
      </c>
      <c r="BD26" s="248">
        <f t="shared" si="35"/>
        <v>300000</v>
      </c>
      <c r="BE26" s="248">
        <f t="shared" si="35"/>
        <v>300000</v>
      </c>
      <c r="BF26" s="248">
        <f t="shared" si="35"/>
        <v>300000</v>
      </c>
      <c r="BG26" s="248">
        <f t="shared" si="35"/>
        <v>300000</v>
      </c>
      <c r="BH26" s="248">
        <f t="shared" si="35"/>
        <v>300000</v>
      </c>
      <c r="BI26" s="248">
        <f t="shared" si="35"/>
        <v>300000</v>
      </c>
      <c r="BJ26" s="248">
        <f t="shared" si="35"/>
        <v>300000</v>
      </c>
      <c r="BK26" s="248">
        <f t="shared" si="35"/>
        <v>300000</v>
      </c>
      <c r="BL26" s="248">
        <f t="shared" si="35"/>
        <v>300000</v>
      </c>
      <c r="BM26" s="248">
        <f t="shared" si="35"/>
        <v>300000</v>
      </c>
      <c r="BN26" s="248">
        <f t="shared" si="35"/>
        <v>300000</v>
      </c>
      <c r="BO26" s="248">
        <f t="shared" si="35"/>
        <v>300000</v>
      </c>
      <c r="BP26" s="248">
        <f t="shared" si="35"/>
        <v>300000</v>
      </c>
      <c r="BQ26" s="61">
        <f t="shared" si="2"/>
        <v>14125000</v>
      </c>
      <c r="BR26" s="250" t="s">
        <v>110</v>
      </c>
      <c r="BS26" s="251"/>
      <c r="BT26" s="252">
        <f t="shared" si="28"/>
        <v>1375000</v>
      </c>
      <c r="BU26" s="252">
        <f t="shared" si="29"/>
        <v>2575000</v>
      </c>
      <c r="BV26" s="252">
        <f t="shared" si="30"/>
        <v>3125000</v>
      </c>
      <c r="BW26" s="252">
        <f t="shared" si="31"/>
        <v>3450000</v>
      </c>
      <c r="BX26" s="252">
        <f t="shared" si="32"/>
        <v>3600000</v>
      </c>
      <c r="BY26" s="253">
        <f>BQ26</f>
        <v>14125000</v>
      </c>
    </row>
    <row r="27" spans="2:78" s="55" customFormat="1" ht="19.5" thickBot="1" x14ac:dyDescent="0.35">
      <c r="C27" s="55" t="s">
        <v>187</v>
      </c>
      <c r="D27" s="56" t="s">
        <v>111</v>
      </c>
      <c r="E27" s="133">
        <v>0.13</v>
      </c>
      <c r="F27" s="59">
        <v>18</v>
      </c>
      <c r="G27" s="100">
        <f>G18*0.15</f>
        <v>195506.08695652176</v>
      </c>
      <c r="H27" s="100">
        <f t="shared" ref="H27:BP27" si="36">H18*0.15</f>
        <v>381236.86956521746</v>
      </c>
      <c r="I27" s="100">
        <f t="shared" si="36"/>
        <v>557681.11304347822</v>
      </c>
      <c r="J27" s="100">
        <f t="shared" si="36"/>
        <v>725303.14434782614</v>
      </c>
      <c r="K27" s="100">
        <f t="shared" si="36"/>
        <v>884544.07408695656</v>
      </c>
      <c r="L27" s="100">
        <f t="shared" si="36"/>
        <v>1035822.9573391305</v>
      </c>
      <c r="M27" s="100">
        <f t="shared" si="36"/>
        <v>1179537.8964286956</v>
      </c>
      <c r="N27" s="100">
        <f t="shared" si="36"/>
        <v>1316067.0885637826</v>
      </c>
      <c r="O27" s="100">
        <f t="shared" si="36"/>
        <v>1445769.8210921155</v>
      </c>
      <c r="P27" s="100">
        <f t="shared" si="36"/>
        <v>1568987.4169940315</v>
      </c>
      <c r="Q27" s="100">
        <f t="shared" si="36"/>
        <v>1686044.1331008514</v>
      </c>
      <c r="R27" s="100">
        <f t="shared" si="36"/>
        <v>1797248.0134023307</v>
      </c>
      <c r="S27" s="208">
        <f t="shared" ref="S27:S36" si="37">SUM(G27:R27)</f>
        <v>12773748.61492094</v>
      </c>
      <c r="T27" s="100">
        <f t="shared" si="36"/>
        <v>1902891.6996887359</v>
      </c>
      <c r="U27" s="100">
        <f t="shared" si="36"/>
        <v>2003253.201660821</v>
      </c>
      <c r="V27" s="100">
        <f t="shared" si="36"/>
        <v>2098596.6285343021</v>
      </c>
      <c r="W27" s="100">
        <f t="shared" si="36"/>
        <v>2189172.8840641086</v>
      </c>
      <c r="X27" s="100">
        <f t="shared" si="36"/>
        <v>2275220.326817425</v>
      </c>
      <c r="Y27" s="100">
        <f t="shared" si="36"/>
        <v>2356965.3974330751</v>
      </c>
      <c r="Z27" s="100">
        <f t="shared" si="36"/>
        <v>2434623.2145179431</v>
      </c>
      <c r="AA27" s="100">
        <f t="shared" si="36"/>
        <v>2508398.1407485679</v>
      </c>
      <c r="AB27" s="100">
        <f t="shared" si="36"/>
        <v>2578484.3206676613</v>
      </c>
      <c r="AC27" s="100">
        <f t="shared" si="36"/>
        <v>2645066.1915908</v>
      </c>
      <c r="AD27" s="100">
        <f t="shared" si="36"/>
        <v>2708318.9689677814</v>
      </c>
      <c r="AE27" s="100">
        <f t="shared" si="36"/>
        <v>2768409.1074759145</v>
      </c>
      <c r="AF27" s="99">
        <f t="shared" ref="AF27:AF36" si="38">SUM(T27:AE27)</f>
        <v>28469400.082167137</v>
      </c>
      <c r="AG27" s="100">
        <f t="shared" si="36"/>
        <v>2825494.7390586399</v>
      </c>
      <c r="AH27" s="100">
        <f t="shared" si="36"/>
        <v>2879726.0890622311</v>
      </c>
      <c r="AI27" s="100">
        <f t="shared" si="36"/>
        <v>2931245.8715656404</v>
      </c>
      <c r="AJ27" s="100">
        <f t="shared" si="36"/>
        <v>2980189.6649438804</v>
      </c>
      <c r="AK27" s="100">
        <f t="shared" si="36"/>
        <v>3026686.2686532079</v>
      </c>
      <c r="AL27" s="100">
        <f t="shared" si="36"/>
        <v>3070858.0421770695</v>
      </c>
      <c r="AM27" s="100">
        <f t="shared" si="36"/>
        <v>3112821.2270247382</v>
      </c>
      <c r="AN27" s="100">
        <f t="shared" si="36"/>
        <v>3152686.2526300228</v>
      </c>
      <c r="AO27" s="100">
        <f t="shared" si="36"/>
        <v>3190558.0269550434</v>
      </c>
      <c r="AP27" s="100">
        <f t="shared" si="36"/>
        <v>3226536.2125638132</v>
      </c>
      <c r="AQ27" s="100">
        <f t="shared" si="36"/>
        <v>3260715.4888921436</v>
      </c>
      <c r="AR27" s="100">
        <f t="shared" si="36"/>
        <v>3293185.801404058</v>
      </c>
      <c r="AS27" s="100">
        <f t="shared" si="36"/>
        <v>3324032.5982903768</v>
      </c>
      <c r="AT27" s="100">
        <f t="shared" si="36"/>
        <v>3353337.0553323803</v>
      </c>
      <c r="AU27" s="100">
        <f t="shared" si="36"/>
        <v>3381176.2895222832</v>
      </c>
      <c r="AV27" s="100">
        <f t="shared" si="36"/>
        <v>3407623.5620026905</v>
      </c>
      <c r="AW27" s="100">
        <f t="shared" si="36"/>
        <v>3432748.4708590773</v>
      </c>
      <c r="AX27" s="100">
        <f t="shared" si="36"/>
        <v>3456617.1342726452</v>
      </c>
      <c r="AY27" s="100">
        <f t="shared" si="36"/>
        <v>3479292.3645155351</v>
      </c>
      <c r="AZ27" s="100">
        <f t="shared" si="36"/>
        <v>3500833.8332462795</v>
      </c>
      <c r="BA27" s="100">
        <f t="shared" si="36"/>
        <v>3521298.2285404867</v>
      </c>
      <c r="BB27" s="100">
        <f t="shared" si="36"/>
        <v>3540739.4040699848</v>
      </c>
      <c r="BC27" s="100">
        <f t="shared" si="36"/>
        <v>3559208.5208230074</v>
      </c>
      <c r="BD27" s="100">
        <f t="shared" si="36"/>
        <v>3576754.181738378</v>
      </c>
      <c r="BE27" s="100">
        <f t="shared" si="36"/>
        <v>3593422.5596079808</v>
      </c>
      <c r="BF27" s="100">
        <f t="shared" si="36"/>
        <v>3609257.5185841043</v>
      </c>
      <c r="BG27" s="100">
        <f t="shared" si="36"/>
        <v>3624300.7296114205</v>
      </c>
      <c r="BH27" s="100">
        <f t="shared" si="36"/>
        <v>3638591.7800873714</v>
      </c>
      <c r="BI27" s="100">
        <f t="shared" si="36"/>
        <v>3652168.2780395243</v>
      </c>
      <c r="BJ27" s="100">
        <f t="shared" si="36"/>
        <v>3665065.9510940714</v>
      </c>
      <c r="BK27" s="100">
        <f t="shared" si="36"/>
        <v>3677318.7404958881</v>
      </c>
      <c r="BL27" s="100">
        <f t="shared" si="36"/>
        <v>3688958.8904276164</v>
      </c>
      <c r="BM27" s="100">
        <f t="shared" si="36"/>
        <v>3700017.0328627573</v>
      </c>
      <c r="BN27" s="100">
        <f t="shared" si="36"/>
        <v>3710522.2681761407</v>
      </c>
      <c r="BO27" s="100">
        <f t="shared" si="36"/>
        <v>3720502.241723856</v>
      </c>
      <c r="BP27" s="100">
        <f t="shared" si="36"/>
        <v>3729983.2165941843</v>
      </c>
      <c r="BQ27" s="61">
        <f t="shared" si="2"/>
        <v>163737623.23253658</v>
      </c>
      <c r="BR27" s="143" t="s">
        <v>111</v>
      </c>
      <c r="BS27" s="150">
        <v>0.13</v>
      </c>
      <c r="BT27" s="144">
        <f t="shared" si="28"/>
        <v>12773748.61492094</v>
      </c>
      <c r="BU27" s="144">
        <f t="shared" si="29"/>
        <v>28469400.082167137</v>
      </c>
      <c r="BV27" s="144">
        <f t="shared" si="30"/>
        <v>36950703.684930481</v>
      </c>
      <c r="BW27" s="144">
        <f t="shared" si="31"/>
        <v>41533661.643213131</v>
      </c>
      <c r="BX27" s="144">
        <f t="shared" si="32"/>
        <v>44010109.20730491</v>
      </c>
      <c r="BY27" s="51">
        <f>BQ27</f>
        <v>163737623.23253658</v>
      </c>
    </row>
    <row r="28" spans="2:78" s="93" customFormat="1" x14ac:dyDescent="0.3">
      <c r="D28" s="101" t="s">
        <v>174</v>
      </c>
      <c r="E28" s="134">
        <v>7.0000000000000007E-2</v>
      </c>
      <c r="F28" s="185"/>
      <c r="G28" s="186">
        <f>$E$28*G18</f>
        <v>91236.173913043502</v>
      </c>
      <c r="H28" s="186">
        <f t="shared" ref="H28:AN28" si="39">$E$28*H18</f>
        <v>177910.53913043483</v>
      </c>
      <c r="I28" s="186">
        <f t="shared" si="39"/>
        <v>260251.18608695656</v>
      </c>
      <c r="J28" s="186">
        <f t="shared" si="39"/>
        <v>338474.80069565226</v>
      </c>
      <c r="K28" s="186">
        <f t="shared" si="39"/>
        <v>412787.23457391316</v>
      </c>
      <c r="L28" s="186">
        <f t="shared" si="39"/>
        <v>483384.04675826099</v>
      </c>
      <c r="M28" s="186">
        <f t="shared" si="39"/>
        <v>550451.0183333914</v>
      </c>
      <c r="N28" s="186">
        <f t="shared" si="39"/>
        <v>614164.64132976532</v>
      </c>
      <c r="O28" s="186">
        <f t="shared" si="39"/>
        <v>674692.58317632065</v>
      </c>
      <c r="P28" s="186">
        <f t="shared" si="39"/>
        <v>732194.12793054816</v>
      </c>
      <c r="Q28" s="186">
        <f t="shared" si="39"/>
        <v>786820.59544706403</v>
      </c>
      <c r="R28" s="186">
        <f t="shared" si="39"/>
        <v>838715.73958775448</v>
      </c>
      <c r="S28" s="211">
        <f t="shared" si="37"/>
        <v>5961082.6869631056</v>
      </c>
      <c r="T28" s="222">
        <f t="shared" si="39"/>
        <v>888016.12652141019</v>
      </c>
      <c r="U28" s="186">
        <f t="shared" si="39"/>
        <v>934851.49410838331</v>
      </c>
      <c r="V28" s="186">
        <f t="shared" si="39"/>
        <v>979345.09331600787</v>
      </c>
      <c r="W28" s="186">
        <f t="shared" si="39"/>
        <v>1021614.012563251</v>
      </c>
      <c r="X28" s="186">
        <f t="shared" si="39"/>
        <v>1061769.4858481318</v>
      </c>
      <c r="Y28" s="186">
        <f t="shared" si="39"/>
        <v>1099917.1854687685</v>
      </c>
      <c r="Z28" s="186">
        <f t="shared" si="39"/>
        <v>1136157.5001083736</v>
      </c>
      <c r="AA28" s="186">
        <f t="shared" si="39"/>
        <v>1170585.7990159984</v>
      </c>
      <c r="AB28" s="186">
        <f t="shared" si="39"/>
        <v>1203292.6829782422</v>
      </c>
      <c r="AC28" s="186">
        <f t="shared" si="39"/>
        <v>1234364.2227423734</v>
      </c>
      <c r="AD28" s="186">
        <f t="shared" si="39"/>
        <v>1263882.1855182983</v>
      </c>
      <c r="AE28" s="186">
        <f t="shared" si="39"/>
        <v>1291924.250155427</v>
      </c>
      <c r="AF28" s="240">
        <f t="shared" si="38"/>
        <v>13285720.038344664</v>
      </c>
      <c r="AG28" s="95">
        <f t="shared" si="39"/>
        <v>1318564.2115606987</v>
      </c>
      <c r="AH28" s="95">
        <f t="shared" si="39"/>
        <v>1343872.174895708</v>
      </c>
      <c r="AI28" s="95">
        <f t="shared" si="39"/>
        <v>1367914.7400639658</v>
      </c>
      <c r="AJ28" s="95">
        <f t="shared" si="39"/>
        <v>1390755.1769738111</v>
      </c>
      <c r="AK28" s="95">
        <f t="shared" si="39"/>
        <v>1412453.5920381637</v>
      </c>
      <c r="AL28" s="95">
        <f t="shared" si="39"/>
        <v>1433067.0863492994</v>
      </c>
      <c r="AM28" s="95">
        <f t="shared" si="39"/>
        <v>1452649.905944878</v>
      </c>
      <c r="AN28" s="95">
        <f t="shared" si="39"/>
        <v>1471253.5845606776</v>
      </c>
      <c r="AO28" s="95">
        <f t="shared" ref="AO28:BP28" si="40">$E$28*AO18</f>
        <v>1488927.0792456872</v>
      </c>
      <c r="AP28" s="95">
        <f t="shared" si="40"/>
        <v>1505716.8991964464</v>
      </c>
      <c r="AQ28" s="95">
        <f t="shared" si="40"/>
        <v>1521667.2281496671</v>
      </c>
      <c r="AR28" s="95">
        <f t="shared" si="40"/>
        <v>1536820.0406552274</v>
      </c>
      <c r="AS28" s="95">
        <f t="shared" si="40"/>
        <v>1551215.2125355094</v>
      </c>
      <c r="AT28" s="95">
        <f t="shared" si="40"/>
        <v>1564890.6258217776</v>
      </c>
      <c r="AU28" s="95">
        <f t="shared" si="40"/>
        <v>1577882.2684437323</v>
      </c>
      <c r="AV28" s="95">
        <f t="shared" si="40"/>
        <v>1590224.3289345892</v>
      </c>
      <c r="AW28" s="95">
        <f t="shared" si="40"/>
        <v>1601949.286400903</v>
      </c>
      <c r="AX28" s="95">
        <f t="shared" si="40"/>
        <v>1613087.9959939013</v>
      </c>
      <c r="AY28" s="95">
        <f t="shared" si="40"/>
        <v>1623669.7701072497</v>
      </c>
      <c r="AZ28" s="95">
        <f t="shared" si="40"/>
        <v>1633722.4555149307</v>
      </c>
      <c r="BA28" s="95">
        <f t="shared" si="40"/>
        <v>1643272.5066522274</v>
      </c>
      <c r="BB28" s="95">
        <f t="shared" si="40"/>
        <v>1652345.0552326597</v>
      </c>
      <c r="BC28" s="95">
        <f t="shared" si="40"/>
        <v>1660963.9763840702</v>
      </c>
      <c r="BD28" s="95">
        <f t="shared" si="40"/>
        <v>1669151.9514779099</v>
      </c>
      <c r="BE28" s="95">
        <f t="shared" si="40"/>
        <v>1676930.5278170579</v>
      </c>
      <c r="BF28" s="95">
        <f t="shared" si="40"/>
        <v>1684320.175339249</v>
      </c>
      <c r="BG28" s="95">
        <f t="shared" si="40"/>
        <v>1691340.3404853297</v>
      </c>
      <c r="BH28" s="95">
        <f t="shared" si="40"/>
        <v>1698009.4973741069</v>
      </c>
      <c r="BI28" s="95">
        <f t="shared" si="40"/>
        <v>1704345.1964184449</v>
      </c>
      <c r="BJ28" s="95">
        <f t="shared" si="40"/>
        <v>1710364.1105105667</v>
      </c>
      <c r="BK28" s="95">
        <f t="shared" si="40"/>
        <v>1716082.0788980813</v>
      </c>
      <c r="BL28" s="95">
        <f t="shared" si="40"/>
        <v>1721514.1488662213</v>
      </c>
      <c r="BM28" s="95">
        <f t="shared" si="40"/>
        <v>1726674.6153359537</v>
      </c>
      <c r="BN28" s="95">
        <f t="shared" si="40"/>
        <v>1731577.0584821992</v>
      </c>
      <c r="BO28" s="95">
        <f t="shared" si="40"/>
        <v>1736234.379471133</v>
      </c>
      <c r="BP28" s="95">
        <f t="shared" si="40"/>
        <v>1740658.8344106195</v>
      </c>
      <c r="BQ28" s="61">
        <f t="shared" si="2"/>
        <v>76410890.841850445</v>
      </c>
      <c r="BR28" s="146" t="s">
        <v>136</v>
      </c>
      <c r="BS28" s="151">
        <v>7.0000000000000007E-2</v>
      </c>
      <c r="BT28" s="147">
        <f t="shared" ref="BT28:BT30" si="41">SUM(G28:R28)</f>
        <v>5961082.6869631056</v>
      </c>
      <c r="BU28" s="147">
        <f t="shared" ref="BU28:BU30" si="42">SUM(T28:AE28)</f>
        <v>13285720.038344664</v>
      </c>
      <c r="BV28" s="147">
        <f t="shared" ref="BV28:BV30" si="43">SUM(AG28:AR28)</f>
        <v>17243661.719634227</v>
      </c>
      <c r="BW28" s="147">
        <f t="shared" ref="BW28:BW30" si="44">SUM(AS28:BD28)</f>
        <v>19382375.433499463</v>
      </c>
      <c r="BX28" s="147">
        <f t="shared" ref="BX28:BX30" si="45">SUM(BE28:BP28)</f>
        <v>20538050.963408966</v>
      </c>
      <c r="BY28" s="51">
        <f t="shared" ref="BY28:BY30" si="46">BQ28</f>
        <v>76410890.841850445</v>
      </c>
    </row>
    <row r="29" spans="2:78" s="93" customFormat="1" ht="38.25" thickBot="1" x14ac:dyDescent="0.35">
      <c r="D29" s="101" t="s">
        <v>151</v>
      </c>
      <c r="E29" s="102">
        <v>0.06</v>
      </c>
      <c r="F29" s="188"/>
      <c r="G29" s="190">
        <f>$E$29*G18</f>
        <v>78202.434782608703</v>
      </c>
      <c r="H29" s="190">
        <f t="shared" ref="H29:AN29" si="47">$E$29*H18</f>
        <v>152494.747826087</v>
      </c>
      <c r="I29" s="190">
        <f t="shared" si="47"/>
        <v>223072.4452173913</v>
      </c>
      <c r="J29" s="190">
        <f t="shared" si="47"/>
        <v>290121.25773913047</v>
      </c>
      <c r="K29" s="190">
        <f t="shared" si="47"/>
        <v>353817.62963478261</v>
      </c>
      <c r="L29" s="190">
        <f t="shared" si="47"/>
        <v>414329.18293565221</v>
      </c>
      <c r="M29" s="190">
        <f t="shared" si="47"/>
        <v>471815.15857147827</v>
      </c>
      <c r="N29" s="190">
        <f t="shared" si="47"/>
        <v>526426.83542551298</v>
      </c>
      <c r="O29" s="190">
        <f t="shared" si="47"/>
        <v>578307.92843684624</v>
      </c>
      <c r="P29" s="190">
        <f t="shared" si="47"/>
        <v>627594.96679761261</v>
      </c>
      <c r="Q29" s="190">
        <f t="shared" si="47"/>
        <v>674417.65324034053</v>
      </c>
      <c r="R29" s="190">
        <f t="shared" si="47"/>
        <v>718899.20536093228</v>
      </c>
      <c r="S29" s="212">
        <f t="shared" si="37"/>
        <v>5109499.4459683755</v>
      </c>
      <c r="T29" s="224">
        <f t="shared" si="47"/>
        <v>761156.67987549433</v>
      </c>
      <c r="U29" s="190">
        <f t="shared" si="47"/>
        <v>801301.28066432837</v>
      </c>
      <c r="V29" s="190">
        <f t="shared" si="47"/>
        <v>839438.65141372092</v>
      </c>
      <c r="W29" s="190">
        <f t="shared" si="47"/>
        <v>875669.15362564346</v>
      </c>
      <c r="X29" s="190">
        <f t="shared" si="47"/>
        <v>910088.13072697003</v>
      </c>
      <c r="Y29" s="190">
        <f t="shared" si="47"/>
        <v>942786.15897323005</v>
      </c>
      <c r="Z29" s="190">
        <f t="shared" si="47"/>
        <v>973849.28580717731</v>
      </c>
      <c r="AA29" s="190">
        <f t="shared" si="47"/>
        <v>1003359.2562994271</v>
      </c>
      <c r="AB29" s="190">
        <f t="shared" si="47"/>
        <v>1031393.7282670646</v>
      </c>
      <c r="AC29" s="190">
        <f t="shared" si="47"/>
        <v>1058026.4766363199</v>
      </c>
      <c r="AD29" s="190">
        <f t="shared" si="47"/>
        <v>1083327.5875871126</v>
      </c>
      <c r="AE29" s="190">
        <f t="shared" si="47"/>
        <v>1107363.6429903659</v>
      </c>
      <c r="AF29" s="242">
        <f t="shared" si="38"/>
        <v>11387760.032866854</v>
      </c>
      <c r="AG29" s="95">
        <f t="shared" si="47"/>
        <v>1130197.895623456</v>
      </c>
      <c r="AH29" s="95">
        <f t="shared" si="47"/>
        <v>1151890.4356248924</v>
      </c>
      <c r="AI29" s="95">
        <f t="shared" si="47"/>
        <v>1172498.3486262562</v>
      </c>
      <c r="AJ29" s="95">
        <f t="shared" si="47"/>
        <v>1192075.8659775523</v>
      </c>
      <c r="AK29" s="95">
        <f t="shared" si="47"/>
        <v>1210674.5074612831</v>
      </c>
      <c r="AL29" s="95">
        <f t="shared" si="47"/>
        <v>1228343.2168708278</v>
      </c>
      <c r="AM29" s="95">
        <f t="shared" si="47"/>
        <v>1245128.4908098951</v>
      </c>
      <c r="AN29" s="95">
        <f t="shared" si="47"/>
        <v>1261074.5010520092</v>
      </c>
      <c r="AO29" s="95">
        <f t="shared" ref="AO29:BP29" si="48">$E$29*AO18</f>
        <v>1276223.2107820173</v>
      </c>
      <c r="AP29" s="95">
        <f t="shared" si="48"/>
        <v>1290614.4850255253</v>
      </c>
      <c r="AQ29" s="95">
        <f t="shared" si="48"/>
        <v>1304286.1955568574</v>
      </c>
      <c r="AR29" s="95">
        <f t="shared" si="48"/>
        <v>1317274.3205616232</v>
      </c>
      <c r="AS29" s="95">
        <f t="shared" si="48"/>
        <v>1329613.0393161508</v>
      </c>
      <c r="AT29" s="95">
        <f t="shared" si="48"/>
        <v>1341334.8221329523</v>
      </c>
      <c r="AU29" s="95">
        <f t="shared" si="48"/>
        <v>1352470.5158089134</v>
      </c>
      <c r="AV29" s="95">
        <f t="shared" si="48"/>
        <v>1363049.4248010763</v>
      </c>
      <c r="AW29" s="95">
        <f t="shared" si="48"/>
        <v>1373099.3883436311</v>
      </c>
      <c r="AX29" s="95">
        <f t="shared" si="48"/>
        <v>1382646.8537090581</v>
      </c>
      <c r="AY29" s="95">
        <f t="shared" si="48"/>
        <v>1391716.9458062139</v>
      </c>
      <c r="AZ29" s="95">
        <f t="shared" si="48"/>
        <v>1400333.5332985118</v>
      </c>
      <c r="BA29" s="95">
        <f t="shared" si="48"/>
        <v>1408519.2914161948</v>
      </c>
      <c r="BB29" s="95">
        <f t="shared" si="48"/>
        <v>1416295.761627994</v>
      </c>
      <c r="BC29" s="95">
        <f t="shared" si="48"/>
        <v>1423683.408329203</v>
      </c>
      <c r="BD29" s="95">
        <f t="shared" si="48"/>
        <v>1430701.6726953513</v>
      </c>
      <c r="BE29" s="95">
        <f t="shared" si="48"/>
        <v>1437369.0238431923</v>
      </c>
      <c r="BF29" s="95">
        <f t="shared" si="48"/>
        <v>1443703.0074336417</v>
      </c>
      <c r="BG29" s="95">
        <f t="shared" si="48"/>
        <v>1449720.2918445682</v>
      </c>
      <c r="BH29" s="95">
        <f t="shared" si="48"/>
        <v>1455436.7120349486</v>
      </c>
      <c r="BI29" s="95">
        <f t="shared" si="48"/>
        <v>1460867.3112158098</v>
      </c>
      <c r="BJ29" s="95">
        <f t="shared" si="48"/>
        <v>1466026.3804376286</v>
      </c>
      <c r="BK29" s="95">
        <f t="shared" si="48"/>
        <v>1470927.4961983552</v>
      </c>
      <c r="BL29" s="95">
        <f t="shared" si="48"/>
        <v>1475583.5561710466</v>
      </c>
      <c r="BM29" s="95">
        <f t="shared" si="48"/>
        <v>1480006.8131451029</v>
      </c>
      <c r="BN29" s="95">
        <f t="shared" si="48"/>
        <v>1484208.9072704562</v>
      </c>
      <c r="BO29" s="95">
        <f t="shared" si="48"/>
        <v>1488200.8966895423</v>
      </c>
      <c r="BP29" s="95">
        <f t="shared" si="48"/>
        <v>1491993.2866376736</v>
      </c>
      <c r="BQ29" s="61">
        <f t="shared" si="2"/>
        <v>65495049.293014646</v>
      </c>
      <c r="BR29" s="148" t="s">
        <v>151</v>
      </c>
      <c r="BS29" s="152">
        <v>0.06</v>
      </c>
      <c r="BT29" s="147">
        <f t="shared" si="41"/>
        <v>5109499.4459683755</v>
      </c>
      <c r="BU29" s="147">
        <f t="shared" si="42"/>
        <v>11387760.032866854</v>
      </c>
      <c r="BV29" s="147">
        <f t="shared" si="43"/>
        <v>14780281.473972194</v>
      </c>
      <c r="BW29" s="147">
        <f t="shared" si="44"/>
        <v>16613464.657285251</v>
      </c>
      <c r="BX29" s="147">
        <f t="shared" si="45"/>
        <v>17604043.682921965</v>
      </c>
      <c r="BY29" s="51">
        <f t="shared" si="46"/>
        <v>65495049.293014646</v>
      </c>
    </row>
    <row r="30" spans="2:78" s="55" customFormat="1" ht="19.5" thickBot="1" x14ac:dyDescent="0.35">
      <c r="C30" s="55" t="s">
        <v>186</v>
      </c>
      <c r="D30" s="56" t="s">
        <v>115</v>
      </c>
      <c r="E30" s="103">
        <v>9.5</v>
      </c>
      <c r="F30" s="59"/>
      <c r="G30" s="100">
        <f>G31+G32+G33</f>
        <v>151000</v>
      </c>
      <c r="H30" s="100">
        <f t="shared" ref="H30:BP30" si="49">H31+H32+H33</f>
        <v>151000</v>
      </c>
      <c r="I30" s="100">
        <f t="shared" si="49"/>
        <v>151000</v>
      </c>
      <c r="J30" s="100">
        <f t="shared" si="49"/>
        <v>151000</v>
      </c>
      <c r="K30" s="100">
        <f t="shared" si="49"/>
        <v>151000</v>
      </c>
      <c r="L30" s="100">
        <f t="shared" si="49"/>
        <v>151000</v>
      </c>
      <c r="M30" s="100">
        <f t="shared" si="49"/>
        <v>151000</v>
      </c>
      <c r="N30" s="100">
        <f t="shared" si="49"/>
        <v>151000</v>
      </c>
      <c r="O30" s="100">
        <f t="shared" si="49"/>
        <v>151000</v>
      </c>
      <c r="P30" s="100">
        <f t="shared" si="49"/>
        <v>151000</v>
      </c>
      <c r="Q30" s="100">
        <f t="shared" si="49"/>
        <v>151000</v>
      </c>
      <c r="R30" s="100">
        <f t="shared" si="49"/>
        <v>151000</v>
      </c>
      <c r="S30" s="265">
        <f t="shared" si="37"/>
        <v>1812000</v>
      </c>
      <c r="T30" s="100">
        <f t="shared" si="49"/>
        <v>151000</v>
      </c>
      <c r="U30" s="100">
        <f t="shared" si="49"/>
        <v>151000</v>
      </c>
      <c r="V30" s="100">
        <f t="shared" si="49"/>
        <v>151000</v>
      </c>
      <c r="W30" s="100">
        <f t="shared" si="49"/>
        <v>151000</v>
      </c>
      <c r="X30" s="100">
        <f t="shared" si="49"/>
        <v>151000</v>
      </c>
      <c r="Y30" s="100">
        <f t="shared" si="49"/>
        <v>151000</v>
      </c>
      <c r="Z30" s="100">
        <f t="shared" si="49"/>
        <v>151000</v>
      </c>
      <c r="AA30" s="100">
        <f t="shared" si="49"/>
        <v>151000</v>
      </c>
      <c r="AB30" s="100">
        <f t="shared" si="49"/>
        <v>151000</v>
      </c>
      <c r="AC30" s="100">
        <f t="shared" si="49"/>
        <v>151000</v>
      </c>
      <c r="AD30" s="100">
        <f t="shared" si="49"/>
        <v>151000</v>
      </c>
      <c r="AE30" s="100">
        <f t="shared" si="49"/>
        <v>151000</v>
      </c>
      <c r="AF30" s="99">
        <f t="shared" si="38"/>
        <v>1812000</v>
      </c>
      <c r="AG30" s="100">
        <f t="shared" si="49"/>
        <v>151000</v>
      </c>
      <c r="AH30" s="100">
        <f t="shared" si="49"/>
        <v>151000</v>
      </c>
      <c r="AI30" s="100">
        <f t="shared" si="49"/>
        <v>151000</v>
      </c>
      <c r="AJ30" s="100">
        <f t="shared" si="49"/>
        <v>151000</v>
      </c>
      <c r="AK30" s="100">
        <f t="shared" si="49"/>
        <v>151000</v>
      </c>
      <c r="AL30" s="100">
        <f t="shared" si="49"/>
        <v>151000</v>
      </c>
      <c r="AM30" s="100">
        <f t="shared" si="49"/>
        <v>151000</v>
      </c>
      <c r="AN30" s="100">
        <f t="shared" si="49"/>
        <v>151000</v>
      </c>
      <c r="AO30" s="100">
        <f t="shared" si="49"/>
        <v>151000</v>
      </c>
      <c r="AP30" s="100">
        <f t="shared" si="49"/>
        <v>151000</v>
      </c>
      <c r="AQ30" s="100">
        <f t="shared" si="49"/>
        <v>151000</v>
      </c>
      <c r="AR30" s="100">
        <f t="shared" si="49"/>
        <v>151000</v>
      </c>
      <c r="AS30" s="100">
        <f t="shared" si="49"/>
        <v>151000</v>
      </c>
      <c r="AT30" s="100">
        <f t="shared" si="49"/>
        <v>151000</v>
      </c>
      <c r="AU30" s="100">
        <f t="shared" si="49"/>
        <v>151000</v>
      </c>
      <c r="AV30" s="100">
        <f t="shared" si="49"/>
        <v>151000</v>
      </c>
      <c r="AW30" s="100">
        <f t="shared" si="49"/>
        <v>151000</v>
      </c>
      <c r="AX30" s="100">
        <f t="shared" si="49"/>
        <v>151000</v>
      </c>
      <c r="AY30" s="100">
        <f t="shared" si="49"/>
        <v>151000</v>
      </c>
      <c r="AZ30" s="100">
        <f t="shared" si="49"/>
        <v>151000</v>
      </c>
      <c r="BA30" s="100">
        <f t="shared" si="49"/>
        <v>151000</v>
      </c>
      <c r="BB30" s="100">
        <f t="shared" si="49"/>
        <v>151000</v>
      </c>
      <c r="BC30" s="100">
        <f t="shared" si="49"/>
        <v>151000</v>
      </c>
      <c r="BD30" s="100">
        <f t="shared" si="49"/>
        <v>151000</v>
      </c>
      <c r="BE30" s="100">
        <f t="shared" si="49"/>
        <v>151000</v>
      </c>
      <c r="BF30" s="100">
        <f t="shared" si="49"/>
        <v>151000</v>
      </c>
      <c r="BG30" s="100">
        <f t="shared" si="49"/>
        <v>151000</v>
      </c>
      <c r="BH30" s="100">
        <f t="shared" si="49"/>
        <v>151000</v>
      </c>
      <c r="BI30" s="100">
        <f t="shared" si="49"/>
        <v>151000</v>
      </c>
      <c r="BJ30" s="100">
        <f t="shared" si="49"/>
        <v>151000</v>
      </c>
      <c r="BK30" s="100">
        <f t="shared" si="49"/>
        <v>151000</v>
      </c>
      <c r="BL30" s="100">
        <f t="shared" si="49"/>
        <v>151000</v>
      </c>
      <c r="BM30" s="100">
        <f t="shared" si="49"/>
        <v>151000</v>
      </c>
      <c r="BN30" s="100">
        <f t="shared" si="49"/>
        <v>151000</v>
      </c>
      <c r="BO30" s="100">
        <f t="shared" si="49"/>
        <v>151000</v>
      </c>
      <c r="BP30" s="100">
        <f t="shared" si="49"/>
        <v>151000</v>
      </c>
      <c r="BQ30" s="61">
        <f t="shared" si="2"/>
        <v>9060000</v>
      </c>
      <c r="BR30" s="143" t="s">
        <v>115</v>
      </c>
      <c r="BS30" s="153">
        <v>9.5</v>
      </c>
      <c r="BT30" s="144">
        <f t="shared" si="41"/>
        <v>1812000</v>
      </c>
      <c r="BU30" s="144">
        <f t="shared" si="42"/>
        <v>1812000</v>
      </c>
      <c r="BV30" s="144">
        <f t="shared" si="43"/>
        <v>1812000</v>
      </c>
      <c r="BW30" s="144">
        <f t="shared" si="44"/>
        <v>1812000</v>
      </c>
      <c r="BX30" s="144">
        <f t="shared" si="45"/>
        <v>1812000</v>
      </c>
      <c r="BY30" s="51">
        <f t="shared" si="46"/>
        <v>9060000</v>
      </c>
    </row>
    <row r="31" spans="2:78" s="93" customFormat="1" x14ac:dyDescent="0.3">
      <c r="D31" s="101" t="s">
        <v>112</v>
      </c>
      <c r="E31" s="103">
        <v>7.5</v>
      </c>
      <c r="F31" s="185">
        <v>6.5</v>
      </c>
      <c r="G31" s="186">
        <f t="shared" ref="G31:R31" si="50">G6*$E$31</f>
        <v>118500</v>
      </c>
      <c r="H31" s="186">
        <f t="shared" si="50"/>
        <v>118500</v>
      </c>
      <c r="I31" s="186">
        <f t="shared" si="50"/>
        <v>118500</v>
      </c>
      <c r="J31" s="186">
        <f t="shared" si="50"/>
        <v>118500</v>
      </c>
      <c r="K31" s="186">
        <f t="shared" si="50"/>
        <v>118500</v>
      </c>
      <c r="L31" s="186">
        <f t="shared" si="50"/>
        <v>118500</v>
      </c>
      <c r="M31" s="186">
        <f t="shared" si="50"/>
        <v>118500</v>
      </c>
      <c r="N31" s="186">
        <f t="shared" si="50"/>
        <v>118500</v>
      </c>
      <c r="O31" s="186">
        <f t="shared" si="50"/>
        <v>118500</v>
      </c>
      <c r="P31" s="186">
        <f t="shared" si="50"/>
        <v>118500</v>
      </c>
      <c r="Q31" s="186">
        <f t="shared" si="50"/>
        <v>118500</v>
      </c>
      <c r="R31" s="186">
        <f t="shared" si="50"/>
        <v>118500</v>
      </c>
      <c r="S31" s="211">
        <f t="shared" si="37"/>
        <v>1422000</v>
      </c>
      <c r="T31" s="222">
        <f t="shared" ref="T31:AE31" si="51">T6*$E$31</f>
        <v>118500</v>
      </c>
      <c r="U31" s="186">
        <f t="shared" si="51"/>
        <v>118500</v>
      </c>
      <c r="V31" s="186">
        <f t="shared" si="51"/>
        <v>118500</v>
      </c>
      <c r="W31" s="186">
        <f t="shared" si="51"/>
        <v>118500</v>
      </c>
      <c r="X31" s="186">
        <f t="shared" si="51"/>
        <v>118500</v>
      </c>
      <c r="Y31" s="186">
        <f t="shared" si="51"/>
        <v>118500</v>
      </c>
      <c r="Z31" s="186">
        <f t="shared" si="51"/>
        <v>118500</v>
      </c>
      <c r="AA31" s="186">
        <f t="shared" si="51"/>
        <v>118500</v>
      </c>
      <c r="AB31" s="186">
        <f t="shared" si="51"/>
        <v>118500</v>
      </c>
      <c r="AC31" s="186">
        <f t="shared" si="51"/>
        <v>118500</v>
      </c>
      <c r="AD31" s="186">
        <f t="shared" si="51"/>
        <v>118500</v>
      </c>
      <c r="AE31" s="186">
        <f t="shared" si="51"/>
        <v>118500</v>
      </c>
      <c r="AF31" s="240">
        <f t="shared" si="38"/>
        <v>1422000</v>
      </c>
      <c r="AG31" s="95">
        <f t="shared" ref="AG31:BP31" si="52">AG6*$E$31</f>
        <v>118500</v>
      </c>
      <c r="AH31" s="95">
        <f t="shared" si="52"/>
        <v>118500</v>
      </c>
      <c r="AI31" s="95">
        <f t="shared" si="52"/>
        <v>118500</v>
      </c>
      <c r="AJ31" s="95">
        <f t="shared" si="52"/>
        <v>118500</v>
      </c>
      <c r="AK31" s="95">
        <f t="shared" si="52"/>
        <v>118500</v>
      </c>
      <c r="AL31" s="95">
        <f t="shared" si="52"/>
        <v>118500</v>
      </c>
      <c r="AM31" s="95">
        <f t="shared" si="52"/>
        <v>118500</v>
      </c>
      <c r="AN31" s="95">
        <f t="shared" si="52"/>
        <v>118500</v>
      </c>
      <c r="AO31" s="95">
        <f t="shared" si="52"/>
        <v>118500</v>
      </c>
      <c r="AP31" s="95">
        <f t="shared" si="52"/>
        <v>118500</v>
      </c>
      <c r="AQ31" s="95">
        <f t="shared" si="52"/>
        <v>118500</v>
      </c>
      <c r="AR31" s="95">
        <f t="shared" si="52"/>
        <v>118500</v>
      </c>
      <c r="AS31" s="95">
        <f t="shared" si="52"/>
        <v>118500</v>
      </c>
      <c r="AT31" s="95">
        <f t="shared" si="52"/>
        <v>118500</v>
      </c>
      <c r="AU31" s="95">
        <f t="shared" si="52"/>
        <v>118500</v>
      </c>
      <c r="AV31" s="95">
        <f t="shared" si="52"/>
        <v>118500</v>
      </c>
      <c r="AW31" s="95">
        <f t="shared" si="52"/>
        <v>118500</v>
      </c>
      <c r="AX31" s="95">
        <f t="shared" si="52"/>
        <v>118500</v>
      </c>
      <c r="AY31" s="95">
        <f t="shared" si="52"/>
        <v>118500</v>
      </c>
      <c r="AZ31" s="95">
        <f t="shared" si="52"/>
        <v>118500</v>
      </c>
      <c r="BA31" s="95">
        <f t="shared" si="52"/>
        <v>118500</v>
      </c>
      <c r="BB31" s="95">
        <f t="shared" si="52"/>
        <v>118500</v>
      </c>
      <c r="BC31" s="95">
        <f t="shared" si="52"/>
        <v>118500</v>
      </c>
      <c r="BD31" s="95">
        <f t="shared" si="52"/>
        <v>118500</v>
      </c>
      <c r="BE31" s="95">
        <f t="shared" si="52"/>
        <v>118500</v>
      </c>
      <c r="BF31" s="95">
        <f t="shared" si="52"/>
        <v>118500</v>
      </c>
      <c r="BG31" s="95">
        <f t="shared" si="52"/>
        <v>118500</v>
      </c>
      <c r="BH31" s="95">
        <f t="shared" si="52"/>
        <v>118500</v>
      </c>
      <c r="BI31" s="95">
        <f t="shared" si="52"/>
        <v>118500</v>
      </c>
      <c r="BJ31" s="95">
        <f t="shared" si="52"/>
        <v>118500</v>
      </c>
      <c r="BK31" s="95">
        <f t="shared" si="52"/>
        <v>118500</v>
      </c>
      <c r="BL31" s="95">
        <f t="shared" si="52"/>
        <v>118500</v>
      </c>
      <c r="BM31" s="95">
        <f t="shared" si="52"/>
        <v>118500</v>
      </c>
      <c r="BN31" s="95">
        <f t="shared" si="52"/>
        <v>118500</v>
      </c>
      <c r="BO31" s="95">
        <f t="shared" si="52"/>
        <v>118500</v>
      </c>
      <c r="BP31" s="95">
        <f t="shared" si="52"/>
        <v>118500</v>
      </c>
      <c r="BQ31" s="61">
        <f t="shared" si="2"/>
        <v>7110000</v>
      </c>
      <c r="BR31" s="146" t="s">
        <v>112</v>
      </c>
      <c r="BS31" s="153">
        <v>7.5</v>
      </c>
      <c r="BT31" s="147">
        <f t="shared" si="28"/>
        <v>1422000</v>
      </c>
      <c r="BU31" s="147">
        <f t="shared" si="29"/>
        <v>1422000</v>
      </c>
      <c r="BV31" s="147">
        <f t="shared" si="30"/>
        <v>1422000</v>
      </c>
      <c r="BW31" s="147">
        <f t="shared" si="31"/>
        <v>1422000</v>
      </c>
      <c r="BX31" s="147">
        <f t="shared" si="32"/>
        <v>1422000</v>
      </c>
      <c r="BY31" s="39">
        <f>BQ31</f>
        <v>7110000</v>
      </c>
    </row>
    <row r="32" spans="2:78" s="93" customFormat="1" x14ac:dyDescent="0.3">
      <c r="D32" s="101" t="s">
        <v>114</v>
      </c>
      <c r="E32" s="103">
        <v>2</v>
      </c>
      <c r="F32" s="187"/>
      <c r="G32" s="95">
        <f t="shared" ref="G32:R32" si="53">G6*$E$32</f>
        <v>31600</v>
      </c>
      <c r="H32" s="95">
        <f t="shared" si="53"/>
        <v>31600</v>
      </c>
      <c r="I32" s="95">
        <f t="shared" si="53"/>
        <v>31600</v>
      </c>
      <c r="J32" s="95">
        <f t="shared" si="53"/>
        <v>31600</v>
      </c>
      <c r="K32" s="95">
        <f t="shared" si="53"/>
        <v>31600</v>
      </c>
      <c r="L32" s="95">
        <f t="shared" si="53"/>
        <v>31600</v>
      </c>
      <c r="M32" s="95">
        <f t="shared" si="53"/>
        <v>31600</v>
      </c>
      <c r="N32" s="95">
        <f t="shared" si="53"/>
        <v>31600</v>
      </c>
      <c r="O32" s="95">
        <f t="shared" si="53"/>
        <v>31600</v>
      </c>
      <c r="P32" s="95">
        <f t="shared" si="53"/>
        <v>31600</v>
      </c>
      <c r="Q32" s="95">
        <f t="shared" si="53"/>
        <v>31600</v>
      </c>
      <c r="R32" s="95">
        <f t="shared" si="53"/>
        <v>31600</v>
      </c>
      <c r="S32" s="213">
        <f t="shared" si="37"/>
        <v>379200</v>
      </c>
      <c r="T32" s="226">
        <f t="shared" ref="T32:AE32" si="54">T6*$E$32</f>
        <v>31600</v>
      </c>
      <c r="U32" s="95">
        <f t="shared" si="54"/>
        <v>31600</v>
      </c>
      <c r="V32" s="95">
        <f t="shared" si="54"/>
        <v>31600</v>
      </c>
      <c r="W32" s="95">
        <f t="shared" si="54"/>
        <v>31600</v>
      </c>
      <c r="X32" s="95">
        <f t="shared" si="54"/>
        <v>31600</v>
      </c>
      <c r="Y32" s="95">
        <f t="shared" si="54"/>
        <v>31600</v>
      </c>
      <c r="Z32" s="95">
        <f t="shared" si="54"/>
        <v>31600</v>
      </c>
      <c r="AA32" s="95">
        <f t="shared" si="54"/>
        <v>31600</v>
      </c>
      <c r="AB32" s="95">
        <f t="shared" si="54"/>
        <v>31600</v>
      </c>
      <c r="AC32" s="95">
        <f t="shared" si="54"/>
        <v>31600</v>
      </c>
      <c r="AD32" s="95">
        <f t="shared" si="54"/>
        <v>31600</v>
      </c>
      <c r="AE32" s="95">
        <f t="shared" si="54"/>
        <v>31600</v>
      </c>
      <c r="AF32" s="241">
        <f t="shared" si="38"/>
        <v>379200</v>
      </c>
      <c r="AG32" s="95">
        <f t="shared" ref="AG32:BP32" si="55">AG6*$E$32</f>
        <v>31600</v>
      </c>
      <c r="AH32" s="95">
        <f t="shared" si="55"/>
        <v>31600</v>
      </c>
      <c r="AI32" s="95">
        <f t="shared" si="55"/>
        <v>31600</v>
      </c>
      <c r="AJ32" s="95">
        <f t="shared" si="55"/>
        <v>31600</v>
      </c>
      <c r="AK32" s="95">
        <f t="shared" si="55"/>
        <v>31600</v>
      </c>
      <c r="AL32" s="95">
        <f t="shared" si="55"/>
        <v>31600</v>
      </c>
      <c r="AM32" s="95">
        <f t="shared" si="55"/>
        <v>31600</v>
      </c>
      <c r="AN32" s="95">
        <f t="shared" si="55"/>
        <v>31600</v>
      </c>
      <c r="AO32" s="95">
        <f t="shared" si="55"/>
        <v>31600</v>
      </c>
      <c r="AP32" s="95">
        <f t="shared" si="55"/>
        <v>31600</v>
      </c>
      <c r="AQ32" s="95">
        <f t="shared" si="55"/>
        <v>31600</v>
      </c>
      <c r="AR32" s="95">
        <f t="shared" si="55"/>
        <v>31600</v>
      </c>
      <c r="AS32" s="95">
        <f t="shared" si="55"/>
        <v>31600</v>
      </c>
      <c r="AT32" s="95">
        <f t="shared" si="55"/>
        <v>31600</v>
      </c>
      <c r="AU32" s="95">
        <f t="shared" si="55"/>
        <v>31600</v>
      </c>
      <c r="AV32" s="95">
        <f t="shared" si="55"/>
        <v>31600</v>
      </c>
      <c r="AW32" s="95">
        <f t="shared" si="55"/>
        <v>31600</v>
      </c>
      <c r="AX32" s="95">
        <f t="shared" si="55"/>
        <v>31600</v>
      </c>
      <c r="AY32" s="95">
        <f t="shared" si="55"/>
        <v>31600</v>
      </c>
      <c r="AZ32" s="95">
        <f t="shared" si="55"/>
        <v>31600</v>
      </c>
      <c r="BA32" s="95">
        <f t="shared" si="55"/>
        <v>31600</v>
      </c>
      <c r="BB32" s="95">
        <f t="shared" si="55"/>
        <v>31600</v>
      </c>
      <c r="BC32" s="95">
        <f t="shared" si="55"/>
        <v>31600</v>
      </c>
      <c r="BD32" s="95">
        <f t="shared" si="55"/>
        <v>31600</v>
      </c>
      <c r="BE32" s="95">
        <f t="shared" si="55"/>
        <v>31600</v>
      </c>
      <c r="BF32" s="95">
        <f t="shared" si="55"/>
        <v>31600</v>
      </c>
      <c r="BG32" s="95">
        <f t="shared" si="55"/>
        <v>31600</v>
      </c>
      <c r="BH32" s="95">
        <f t="shared" si="55"/>
        <v>31600</v>
      </c>
      <c r="BI32" s="95">
        <f t="shared" si="55"/>
        <v>31600</v>
      </c>
      <c r="BJ32" s="95">
        <f t="shared" si="55"/>
        <v>31600</v>
      </c>
      <c r="BK32" s="95">
        <f t="shared" si="55"/>
        <v>31600</v>
      </c>
      <c r="BL32" s="95">
        <f t="shared" si="55"/>
        <v>31600</v>
      </c>
      <c r="BM32" s="95">
        <f t="shared" si="55"/>
        <v>31600</v>
      </c>
      <c r="BN32" s="95">
        <f t="shared" si="55"/>
        <v>31600</v>
      </c>
      <c r="BO32" s="95">
        <f t="shared" si="55"/>
        <v>31600</v>
      </c>
      <c r="BP32" s="95">
        <f t="shared" si="55"/>
        <v>31600</v>
      </c>
      <c r="BQ32" s="61">
        <f t="shared" si="2"/>
        <v>1896000</v>
      </c>
      <c r="BR32" s="146" t="s">
        <v>114</v>
      </c>
      <c r="BS32" s="153">
        <v>2</v>
      </c>
      <c r="BT32" s="147">
        <f t="shared" ref="BT32:BT33" si="56">SUM(G32:R32)</f>
        <v>379200</v>
      </c>
      <c r="BU32" s="147">
        <f t="shared" ref="BU32:BU33" si="57">SUM(T32:AE32)</f>
        <v>379200</v>
      </c>
      <c r="BV32" s="147">
        <f t="shared" ref="BV32:BV33" si="58">SUM(AG32:AR32)</f>
        <v>379200</v>
      </c>
      <c r="BW32" s="147">
        <f t="shared" ref="BW32:BW33" si="59">SUM(AS32:BD32)</f>
        <v>379200</v>
      </c>
      <c r="BX32" s="147">
        <f t="shared" ref="BX32:BX33" si="60">SUM(BE32:BP32)</f>
        <v>379200</v>
      </c>
      <c r="BY32" s="39">
        <f t="shared" ref="BY32:BY33" si="61">BQ32</f>
        <v>1896000</v>
      </c>
    </row>
    <row r="33" spans="2:78" s="93" customFormat="1" ht="19.5" thickBot="1" x14ac:dyDescent="0.35">
      <c r="D33" s="101" t="s">
        <v>113</v>
      </c>
      <c r="E33" s="103">
        <v>4.5</v>
      </c>
      <c r="F33" s="188"/>
      <c r="G33" s="189">
        <f t="shared" ref="G33:R33" si="62">$E$33*G7</f>
        <v>900</v>
      </c>
      <c r="H33" s="189">
        <f t="shared" si="62"/>
        <v>900</v>
      </c>
      <c r="I33" s="189">
        <f t="shared" si="62"/>
        <v>900</v>
      </c>
      <c r="J33" s="189">
        <f t="shared" si="62"/>
        <v>900</v>
      </c>
      <c r="K33" s="189">
        <f t="shared" si="62"/>
        <v>900</v>
      </c>
      <c r="L33" s="189">
        <f t="shared" si="62"/>
        <v>900</v>
      </c>
      <c r="M33" s="189">
        <f t="shared" si="62"/>
        <v>900</v>
      </c>
      <c r="N33" s="189">
        <f t="shared" si="62"/>
        <v>900</v>
      </c>
      <c r="O33" s="189">
        <f t="shared" si="62"/>
        <v>900</v>
      </c>
      <c r="P33" s="189">
        <f t="shared" si="62"/>
        <v>900</v>
      </c>
      <c r="Q33" s="189">
        <f t="shared" si="62"/>
        <v>900</v>
      </c>
      <c r="R33" s="189">
        <f t="shared" si="62"/>
        <v>900</v>
      </c>
      <c r="S33" s="212">
        <f t="shared" si="37"/>
        <v>10800</v>
      </c>
      <c r="T33" s="243">
        <f t="shared" ref="T33:AE33" si="63">$E$33*T7</f>
        <v>900</v>
      </c>
      <c r="U33" s="189">
        <f t="shared" si="63"/>
        <v>900</v>
      </c>
      <c r="V33" s="189">
        <f t="shared" si="63"/>
        <v>900</v>
      </c>
      <c r="W33" s="189">
        <f t="shared" si="63"/>
        <v>900</v>
      </c>
      <c r="X33" s="189">
        <f t="shared" si="63"/>
        <v>900</v>
      </c>
      <c r="Y33" s="189">
        <f t="shared" si="63"/>
        <v>900</v>
      </c>
      <c r="Z33" s="189">
        <f t="shared" si="63"/>
        <v>900</v>
      </c>
      <c r="AA33" s="189">
        <f t="shared" si="63"/>
        <v>900</v>
      </c>
      <c r="AB33" s="189">
        <f t="shared" si="63"/>
        <v>900</v>
      </c>
      <c r="AC33" s="189">
        <f t="shared" si="63"/>
        <v>900</v>
      </c>
      <c r="AD33" s="189">
        <f t="shared" si="63"/>
        <v>900</v>
      </c>
      <c r="AE33" s="189">
        <f t="shared" si="63"/>
        <v>900</v>
      </c>
      <c r="AF33" s="242">
        <f t="shared" si="38"/>
        <v>10800</v>
      </c>
      <c r="AG33" s="104">
        <f t="shared" ref="AG33:BP33" si="64">$E$33*AG7</f>
        <v>900</v>
      </c>
      <c r="AH33" s="104">
        <f t="shared" si="64"/>
        <v>900</v>
      </c>
      <c r="AI33" s="104">
        <f t="shared" si="64"/>
        <v>900</v>
      </c>
      <c r="AJ33" s="104">
        <f t="shared" si="64"/>
        <v>900</v>
      </c>
      <c r="AK33" s="104">
        <f t="shared" si="64"/>
        <v>900</v>
      </c>
      <c r="AL33" s="104">
        <f t="shared" si="64"/>
        <v>900</v>
      </c>
      <c r="AM33" s="104">
        <f t="shared" si="64"/>
        <v>900</v>
      </c>
      <c r="AN33" s="104">
        <f t="shared" si="64"/>
        <v>900</v>
      </c>
      <c r="AO33" s="104">
        <f t="shared" si="64"/>
        <v>900</v>
      </c>
      <c r="AP33" s="104">
        <f t="shared" si="64"/>
        <v>900</v>
      </c>
      <c r="AQ33" s="104">
        <f t="shared" si="64"/>
        <v>900</v>
      </c>
      <c r="AR33" s="104">
        <f t="shared" si="64"/>
        <v>900</v>
      </c>
      <c r="AS33" s="104">
        <f t="shared" si="64"/>
        <v>900</v>
      </c>
      <c r="AT33" s="104">
        <f t="shared" si="64"/>
        <v>900</v>
      </c>
      <c r="AU33" s="104">
        <f t="shared" si="64"/>
        <v>900</v>
      </c>
      <c r="AV33" s="104">
        <f t="shared" si="64"/>
        <v>900</v>
      </c>
      <c r="AW33" s="104">
        <f t="shared" si="64"/>
        <v>900</v>
      </c>
      <c r="AX33" s="104">
        <f t="shared" si="64"/>
        <v>900</v>
      </c>
      <c r="AY33" s="104">
        <f t="shared" si="64"/>
        <v>900</v>
      </c>
      <c r="AZ33" s="104">
        <f t="shared" si="64"/>
        <v>900</v>
      </c>
      <c r="BA33" s="104">
        <f t="shared" si="64"/>
        <v>900</v>
      </c>
      <c r="BB33" s="104">
        <f t="shared" si="64"/>
        <v>900</v>
      </c>
      <c r="BC33" s="104">
        <f t="shared" si="64"/>
        <v>900</v>
      </c>
      <c r="BD33" s="104">
        <f t="shared" si="64"/>
        <v>900</v>
      </c>
      <c r="BE33" s="104">
        <f t="shared" si="64"/>
        <v>900</v>
      </c>
      <c r="BF33" s="104">
        <f t="shared" si="64"/>
        <v>900</v>
      </c>
      <c r="BG33" s="104">
        <f t="shared" si="64"/>
        <v>900</v>
      </c>
      <c r="BH33" s="104">
        <f t="shared" si="64"/>
        <v>900</v>
      </c>
      <c r="BI33" s="104">
        <f t="shared" si="64"/>
        <v>900</v>
      </c>
      <c r="BJ33" s="104">
        <f t="shared" si="64"/>
        <v>900</v>
      </c>
      <c r="BK33" s="104">
        <f t="shared" si="64"/>
        <v>900</v>
      </c>
      <c r="BL33" s="104">
        <f t="shared" si="64"/>
        <v>900</v>
      </c>
      <c r="BM33" s="104">
        <f t="shared" si="64"/>
        <v>900</v>
      </c>
      <c r="BN33" s="104">
        <f t="shared" si="64"/>
        <v>900</v>
      </c>
      <c r="BO33" s="104">
        <f t="shared" si="64"/>
        <v>900</v>
      </c>
      <c r="BP33" s="104">
        <f t="shared" si="64"/>
        <v>900</v>
      </c>
      <c r="BQ33" s="61">
        <f t="shared" si="2"/>
        <v>54000</v>
      </c>
      <c r="BR33" s="146" t="s">
        <v>113</v>
      </c>
      <c r="BS33" s="153">
        <v>4.5</v>
      </c>
      <c r="BT33" s="147">
        <f t="shared" si="56"/>
        <v>10800</v>
      </c>
      <c r="BU33" s="147">
        <f t="shared" si="57"/>
        <v>10800</v>
      </c>
      <c r="BV33" s="147">
        <f t="shared" si="58"/>
        <v>10800</v>
      </c>
      <c r="BW33" s="147">
        <f t="shared" si="59"/>
        <v>10800</v>
      </c>
      <c r="BX33" s="147">
        <f t="shared" si="60"/>
        <v>10800</v>
      </c>
      <c r="BY33" s="39">
        <f t="shared" si="61"/>
        <v>54000</v>
      </c>
    </row>
    <row r="34" spans="2:78" s="93" customFormat="1" x14ac:dyDescent="0.3">
      <c r="D34" s="101"/>
      <c r="E34" s="103"/>
      <c r="F34" s="94"/>
      <c r="S34" s="198"/>
      <c r="AF34" s="99">
        <f t="shared" si="38"/>
        <v>0</v>
      </c>
      <c r="BQ34" s="61">
        <f t="shared" si="2"/>
        <v>0</v>
      </c>
      <c r="BR34" s="146"/>
      <c r="BS34" s="153"/>
      <c r="BT34" s="147"/>
      <c r="BU34" s="147"/>
      <c r="BV34" s="147"/>
      <c r="BW34" s="147"/>
      <c r="BX34" s="147"/>
      <c r="BY34" s="39"/>
    </row>
    <row r="35" spans="2:78" s="93" customFormat="1" x14ac:dyDescent="0.3">
      <c r="C35" s="93" t="s">
        <v>186</v>
      </c>
      <c r="D35" s="101" t="s">
        <v>2</v>
      </c>
      <c r="E35" s="103">
        <v>0</v>
      </c>
      <c r="F35" s="94">
        <v>21</v>
      </c>
      <c r="G35" s="95">
        <f>55000+20000</f>
        <v>75000</v>
      </c>
      <c r="H35" s="95">
        <v>20000</v>
      </c>
      <c r="I35" s="95">
        <v>20000</v>
      </c>
      <c r="J35" s="95">
        <v>20000</v>
      </c>
      <c r="K35" s="95">
        <v>20000</v>
      </c>
      <c r="L35" s="95">
        <v>20000</v>
      </c>
      <c r="M35" s="95">
        <v>20000</v>
      </c>
      <c r="N35" s="95">
        <v>20000</v>
      </c>
      <c r="O35" s="95">
        <v>20000</v>
      </c>
      <c r="P35" s="95">
        <v>20000</v>
      </c>
      <c r="Q35" s="95">
        <v>20000</v>
      </c>
      <c r="R35" s="95">
        <v>20000</v>
      </c>
      <c r="S35" s="267">
        <f t="shared" si="37"/>
        <v>295000</v>
      </c>
      <c r="T35" s="95">
        <f>R35*1.05</f>
        <v>21000</v>
      </c>
      <c r="U35" s="95">
        <f>T35</f>
        <v>21000</v>
      </c>
      <c r="V35" s="95">
        <f t="shared" ref="V35:AE36" si="65">U35</f>
        <v>21000</v>
      </c>
      <c r="W35" s="95">
        <f t="shared" si="65"/>
        <v>21000</v>
      </c>
      <c r="X35" s="95">
        <f t="shared" si="65"/>
        <v>21000</v>
      </c>
      <c r="Y35" s="95">
        <f t="shared" si="65"/>
        <v>21000</v>
      </c>
      <c r="Z35" s="95">
        <f t="shared" si="65"/>
        <v>21000</v>
      </c>
      <c r="AA35" s="95">
        <f t="shared" si="65"/>
        <v>21000</v>
      </c>
      <c r="AB35" s="95">
        <f t="shared" si="65"/>
        <v>21000</v>
      </c>
      <c r="AC35" s="95">
        <f t="shared" si="65"/>
        <v>21000</v>
      </c>
      <c r="AD35" s="95">
        <f t="shared" si="65"/>
        <v>21000</v>
      </c>
      <c r="AE35" s="95">
        <f t="shared" si="65"/>
        <v>21000</v>
      </c>
      <c r="AF35" s="99">
        <f t="shared" si="38"/>
        <v>252000</v>
      </c>
      <c r="AG35" s="95">
        <f>AE35*1.05</f>
        <v>22050</v>
      </c>
      <c r="AH35" s="95">
        <f>AG35</f>
        <v>22050</v>
      </c>
      <c r="AI35" s="95">
        <f t="shared" ref="AI35:AR36" si="66">AH35</f>
        <v>22050</v>
      </c>
      <c r="AJ35" s="95">
        <f t="shared" si="66"/>
        <v>22050</v>
      </c>
      <c r="AK35" s="95">
        <f t="shared" si="66"/>
        <v>22050</v>
      </c>
      <c r="AL35" s="95">
        <f t="shared" si="66"/>
        <v>22050</v>
      </c>
      <c r="AM35" s="95">
        <f t="shared" si="66"/>
        <v>22050</v>
      </c>
      <c r="AN35" s="95">
        <f t="shared" si="66"/>
        <v>22050</v>
      </c>
      <c r="AO35" s="95">
        <f t="shared" si="66"/>
        <v>22050</v>
      </c>
      <c r="AP35" s="95">
        <f t="shared" si="66"/>
        <v>22050</v>
      </c>
      <c r="AQ35" s="95">
        <f t="shared" si="66"/>
        <v>22050</v>
      </c>
      <c r="AR35" s="95">
        <f t="shared" si="66"/>
        <v>22050</v>
      </c>
      <c r="AS35" s="95">
        <f>AR35*1.05</f>
        <v>23152.5</v>
      </c>
      <c r="AT35" s="95">
        <f>AS35</f>
        <v>23152.5</v>
      </c>
      <c r="AU35" s="95">
        <f t="shared" ref="AU35:BD36" si="67">AT35</f>
        <v>23152.5</v>
      </c>
      <c r="AV35" s="95">
        <f t="shared" si="67"/>
        <v>23152.5</v>
      </c>
      <c r="AW35" s="95">
        <f t="shared" si="67"/>
        <v>23152.5</v>
      </c>
      <c r="AX35" s="95">
        <f t="shared" si="67"/>
        <v>23152.5</v>
      </c>
      <c r="AY35" s="95">
        <f t="shared" si="67"/>
        <v>23152.5</v>
      </c>
      <c r="AZ35" s="95">
        <f t="shared" si="67"/>
        <v>23152.5</v>
      </c>
      <c r="BA35" s="95">
        <f t="shared" si="67"/>
        <v>23152.5</v>
      </c>
      <c r="BB35" s="95">
        <f t="shared" si="67"/>
        <v>23152.5</v>
      </c>
      <c r="BC35" s="95">
        <f t="shared" si="67"/>
        <v>23152.5</v>
      </c>
      <c r="BD35" s="95">
        <f t="shared" si="67"/>
        <v>23152.5</v>
      </c>
      <c r="BE35" s="95">
        <f>BD35*1.05</f>
        <v>24310.125</v>
      </c>
      <c r="BF35" s="95">
        <f>BE35</f>
        <v>24310.125</v>
      </c>
      <c r="BG35" s="95">
        <f t="shared" ref="BG35:BP36" si="68">BF35</f>
        <v>24310.125</v>
      </c>
      <c r="BH35" s="95">
        <f t="shared" si="68"/>
        <v>24310.125</v>
      </c>
      <c r="BI35" s="95">
        <f t="shared" si="68"/>
        <v>24310.125</v>
      </c>
      <c r="BJ35" s="95">
        <f t="shared" si="68"/>
        <v>24310.125</v>
      </c>
      <c r="BK35" s="95">
        <f t="shared" si="68"/>
        <v>24310.125</v>
      </c>
      <c r="BL35" s="95">
        <f t="shared" si="68"/>
        <v>24310.125</v>
      </c>
      <c r="BM35" s="95">
        <f t="shared" si="68"/>
        <v>24310.125</v>
      </c>
      <c r="BN35" s="95">
        <f t="shared" si="68"/>
        <v>24310.125</v>
      </c>
      <c r="BO35" s="95">
        <f t="shared" si="68"/>
        <v>24310.125</v>
      </c>
      <c r="BP35" s="95">
        <f t="shared" si="68"/>
        <v>24310.125</v>
      </c>
      <c r="BQ35" s="61">
        <f t="shared" si="2"/>
        <v>1381151.5</v>
      </c>
      <c r="BR35" s="146" t="s">
        <v>2</v>
      </c>
      <c r="BS35" s="153">
        <v>0</v>
      </c>
      <c r="BT35" s="147">
        <f t="shared" si="28"/>
        <v>295000</v>
      </c>
      <c r="BU35" s="147">
        <f t="shared" si="29"/>
        <v>252000</v>
      </c>
      <c r="BV35" s="147">
        <f t="shared" si="30"/>
        <v>264600</v>
      </c>
      <c r="BW35" s="147">
        <f t="shared" si="31"/>
        <v>277830</v>
      </c>
      <c r="BX35" s="147">
        <f>SUM(BE35:BP35)</f>
        <v>291721.5</v>
      </c>
      <c r="BY35" s="39">
        <f>SUM(BT35:BX35)</f>
        <v>1381151.5</v>
      </c>
    </row>
    <row r="36" spans="2:78" s="93" customFormat="1" x14ac:dyDescent="0.3">
      <c r="C36" s="93" t="s">
        <v>186</v>
      </c>
      <c r="D36" s="101" t="s">
        <v>107</v>
      </c>
      <c r="F36" s="94"/>
      <c r="G36" s="95">
        <v>279000</v>
      </c>
      <c r="H36" s="95">
        <v>79000</v>
      </c>
      <c r="I36" s="95">
        <v>79000</v>
      </c>
      <c r="J36" s="95">
        <v>79000</v>
      </c>
      <c r="K36" s="95">
        <v>79000</v>
      </c>
      <c r="L36" s="95">
        <v>79000</v>
      </c>
      <c r="M36" s="95">
        <v>79000</v>
      </c>
      <c r="N36" s="95">
        <v>79000</v>
      </c>
      <c r="O36" s="95">
        <v>79000</v>
      </c>
      <c r="P36" s="95">
        <v>79000</v>
      </c>
      <c r="Q36" s="95">
        <v>79000</v>
      </c>
      <c r="R36" s="95">
        <v>79000</v>
      </c>
      <c r="S36" s="267">
        <f t="shared" si="37"/>
        <v>1148000</v>
      </c>
      <c r="T36" s="95">
        <f>R36*1.05</f>
        <v>82950</v>
      </c>
      <c r="U36" s="95">
        <f>T36</f>
        <v>82950</v>
      </c>
      <c r="V36" s="95">
        <f t="shared" si="65"/>
        <v>82950</v>
      </c>
      <c r="W36" s="95">
        <f t="shared" si="65"/>
        <v>82950</v>
      </c>
      <c r="X36" s="95">
        <f t="shared" si="65"/>
        <v>82950</v>
      </c>
      <c r="Y36" s="95">
        <f t="shared" si="65"/>
        <v>82950</v>
      </c>
      <c r="Z36" s="95">
        <f t="shared" si="65"/>
        <v>82950</v>
      </c>
      <c r="AA36" s="95">
        <f t="shared" si="65"/>
        <v>82950</v>
      </c>
      <c r="AB36" s="95">
        <f t="shared" si="65"/>
        <v>82950</v>
      </c>
      <c r="AC36" s="95">
        <f t="shared" si="65"/>
        <v>82950</v>
      </c>
      <c r="AD36" s="95">
        <f t="shared" si="65"/>
        <v>82950</v>
      </c>
      <c r="AE36" s="95">
        <f t="shared" si="65"/>
        <v>82950</v>
      </c>
      <c r="AF36" s="99">
        <f t="shared" si="38"/>
        <v>995400</v>
      </c>
      <c r="AG36" s="95">
        <f>AE36*1.05</f>
        <v>87097.5</v>
      </c>
      <c r="AH36" s="95">
        <f>AG36</f>
        <v>87097.5</v>
      </c>
      <c r="AI36" s="95">
        <f t="shared" si="66"/>
        <v>87097.5</v>
      </c>
      <c r="AJ36" s="95">
        <f t="shared" si="66"/>
        <v>87097.5</v>
      </c>
      <c r="AK36" s="95">
        <f t="shared" si="66"/>
        <v>87097.5</v>
      </c>
      <c r="AL36" s="95">
        <f t="shared" si="66"/>
        <v>87097.5</v>
      </c>
      <c r="AM36" s="95">
        <f t="shared" si="66"/>
        <v>87097.5</v>
      </c>
      <c r="AN36" s="95">
        <f t="shared" si="66"/>
        <v>87097.5</v>
      </c>
      <c r="AO36" s="95">
        <f t="shared" si="66"/>
        <v>87097.5</v>
      </c>
      <c r="AP36" s="95">
        <f t="shared" si="66"/>
        <v>87097.5</v>
      </c>
      <c r="AQ36" s="95">
        <f t="shared" si="66"/>
        <v>87097.5</v>
      </c>
      <c r="AR36" s="95">
        <f t="shared" si="66"/>
        <v>87097.5</v>
      </c>
      <c r="AS36" s="95">
        <f>AR36*1.05</f>
        <v>91452.375</v>
      </c>
      <c r="AT36" s="95">
        <f>AS36</f>
        <v>91452.375</v>
      </c>
      <c r="AU36" s="95">
        <f t="shared" si="67"/>
        <v>91452.375</v>
      </c>
      <c r="AV36" s="95">
        <f t="shared" si="67"/>
        <v>91452.375</v>
      </c>
      <c r="AW36" s="95">
        <f t="shared" si="67"/>
        <v>91452.375</v>
      </c>
      <c r="AX36" s="95">
        <f t="shared" si="67"/>
        <v>91452.375</v>
      </c>
      <c r="AY36" s="95">
        <f t="shared" si="67"/>
        <v>91452.375</v>
      </c>
      <c r="AZ36" s="95">
        <f t="shared" si="67"/>
        <v>91452.375</v>
      </c>
      <c r="BA36" s="95">
        <f t="shared" si="67"/>
        <v>91452.375</v>
      </c>
      <c r="BB36" s="95">
        <f t="shared" si="67"/>
        <v>91452.375</v>
      </c>
      <c r="BC36" s="95">
        <f t="shared" si="67"/>
        <v>91452.375</v>
      </c>
      <c r="BD36" s="95">
        <f t="shared" si="67"/>
        <v>91452.375</v>
      </c>
      <c r="BE36" s="95">
        <f>BD36*1.05</f>
        <v>96024.993750000009</v>
      </c>
      <c r="BF36" s="95">
        <f>BE36</f>
        <v>96024.993750000009</v>
      </c>
      <c r="BG36" s="95">
        <f t="shared" si="68"/>
        <v>96024.993750000009</v>
      </c>
      <c r="BH36" s="95">
        <f t="shared" si="68"/>
        <v>96024.993750000009</v>
      </c>
      <c r="BI36" s="95">
        <f t="shared" si="68"/>
        <v>96024.993750000009</v>
      </c>
      <c r="BJ36" s="95">
        <f t="shared" si="68"/>
        <v>96024.993750000009</v>
      </c>
      <c r="BK36" s="95">
        <f t="shared" si="68"/>
        <v>96024.993750000009</v>
      </c>
      <c r="BL36" s="95">
        <f t="shared" si="68"/>
        <v>96024.993750000009</v>
      </c>
      <c r="BM36" s="95">
        <f t="shared" si="68"/>
        <v>96024.993750000009</v>
      </c>
      <c r="BN36" s="95">
        <f t="shared" si="68"/>
        <v>96024.993750000009</v>
      </c>
      <c r="BO36" s="95">
        <f t="shared" si="68"/>
        <v>96024.993750000009</v>
      </c>
      <c r="BP36" s="95">
        <f t="shared" si="68"/>
        <v>96024.993750000009</v>
      </c>
      <c r="BQ36" s="61">
        <f t="shared" si="2"/>
        <v>5438298.4250000045</v>
      </c>
      <c r="BR36" s="146" t="s">
        <v>107</v>
      </c>
      <c r="BS36" s="146"/>
      <c r="BT36" s="147">
        <f t="shared" si="28"/>
        <v>1148000</v>
      </c>
      <c r="BU36" s="147">
        <f t="shared" si="29"/>
        <v>995400</v>
      </c>
      <c r="BV36" s="147">
        <f t="shared" si="30"/>
        <v>1045170</v>
      </c>
      <c r="BW36" s="147">
        <f t="shared" si="31"/>
        <v>1097428.5</v>
      </c>
      <c r="BX36" s="147">
        <f>SUM(BE36:BP36)</f>
        <v>1152299.925</v>
      </c>
      <c r="BY36" s="39"/>
    </row>
    <row r="37" spans="2:78" x14ac:dyDescent="0.3">
      <c r="B37" s="1"/>
      <c r="C37" s="1"/>
      <c r="D37" s="139" t="s">
        <v>148</v>
      </c>
      <c r="E37" s="142" t="s">
        <v>149</v>
      </c>
      <c r="F37" s="3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14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170" t="s">
        <v>148</v>
      </c>
      <c r="BS37" s="178" t="s">
        <v>157</v>
      </c>
      <c r="BT37" s="169"/>
      <c r="BU37" s="169"/>
      <c r="BV37" s="169"/>
      <c r="BW37" s="169"/>
      <c r="BX37" s="169"/>
      <c r="BY37" s="38"/>
      <c r="BZ37" s="1"/>
    </row>
    <row r="38" spans="2:78" ht="14.45" customHeight="1" thickBot="1" x14ac:dyDescent="0.35">
      <c r="D38" s="274" t="s">
        <v>150</v>
      </c>
      <c r="E38" s="275"/>
      <c r="F38" s="19" t="s">
        <v>175</v>
      </c>
      <c r="G38" s="197">
        <f>G12-G21</f>
        <v>13584.17680695653</v>
      </c>
      <c r="H38" s="197">
        <f t="shared" ref="H38:AF38" si="69">H12-H21</f>
        <v>753848.14477356593</v>
      </c>
      <c r="I38" s="197">
        <f t="shared" si="69"/>
        <v>1189848.9143418437</v>
      </c>
      <c r="J38" s="197">
        <f t="shared" si="69"/>
        <v>1627799.6454317081</v>
      </c>
      <c r="K38" s="197">
        <f t="shared" si="69"/>
        <v>2018852.8399670795</v>
      </c>
      <c r="L38" s="197">
        <f t="shared" si="69"/>
        <v>2389103.3747756826</v>
      </c>
      <c r="M38" s="197">
        <f t="shared" si="69"/>
        <v>2764591.3828438539</v>
      </c>
      <c r="N38" s="197">
        <f t="shared" si="69"/>
        <v>3121304.9905086178</v>
      </c>
      <c r="O38" s="197">
        <f t="shared" si="69"/>
        <v>3435182.9177901456</v>
      </c>
      <c r="P38" s="197">
        <f t="shared" si="69"/>
        <v>3757116.9487075945</v>
      </c>
      <c r="Q38" s="197">
        <f t="shared" si="69"/>
        <v>4037954.2780791689</v>
      </c>
      <c r="R38" s="197">
        <f t="shared" si="69"/>
        <v>4328499.7409821693</v>
      </c>
      <c r="S38" s="215">
        <f t="shared" si="69"/>
        <v>29437687.355008379</v>
      </c>
      <c r="T38" s="197">
        <f t="shared" si="69"/>
        <v>4599567.9307400174</v>
      </c>
      <c r="U38" s="197">
        <f t="shared" si="69"/>
        <v>4861785.2110099737</v>
      </c>
      <c r="V38" s="197">
        <f t="shared" si="69"/>
        <v>5085891.6272664331</v>
      </c>
      <c r="W38" s="197">
        <f t="shared" si="69"/>
        <v>5322542.7227100674</v>
      </c>
      <c r="X38" s="197">
        <f t="shared" si="69"/>
        <v>5547361.2633815203</v>
      </c>
      <c r="Y38" s="197">
        <f t="shared" si="69"/>
        <v>5735938.8770193998</v>
      </c>
      <c r="Z38" s="197">
        <f t="shared" si="69"/>
        <v>5938837.6099753864</v>
      </c>
      <c r="AA38" s="197">
        <f t="shared" si="69"/>
        <v>6131591.4062835723</v>
      </c>
      <c r="AB38" s="197">
        <f t="shared" si="69"/>
        <v>6314707.5127763506</v>
      </c>
      <c r="AC38" s="197">
        <f t="shared" si="69"/>
        <v>6488667.8139444925</v>
      </c>
      <c r="AD38" s="197">
        <f t="shared" si="69"/>
        <v>6628930.1000542194</v>
      </c>
      <c r="AE38" s="197">
        <f t="shared" si="69"/>
        <v>6785929.2718584687</v>
      </c>
      <c r="AF38" s="197">
        <f t="shared" si="69"/>
        <v>69441751.347019911</v>
      </c>
      <c r="BR38" s="278" t="s">
        <v>150</v>
      </c>
      <c r="BS38" s="278"/>
      <c r="BT38" s="155"/>
      <c r="BU38" s="155"/>
      <c r="BV38" s="155"/>
      <c r="BW38" s="155"/>
      <c r="BX38" s="155"/>
    </row>
    <row r="39" spans="2:78" ht="27" customHeight="1" thickTop="1" x14ac:dyDescent="0.3">
      <c r="B39" s="1"/>
      <c r="C39" s="1"/>
      <c r="D39" s="275"/>
      <c r="E39" s="275"/>
      <c r="F39" s="3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14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278"/>
      <c r="BS39" s="278"/>
      <c r="BT39" s="169"/>
      <c r="BU39" s="169"/>
      <c r="BV39" s="169"/>
      <c r="BW39" s="169"/>
      <c r="BX39" s="169"/>
      <c r="BY39" s="38"/>
      <c r="BZ39" s="1"/>
    </row>
    <row r="40" spans="2:78" s="55" customFormat="1" x14ac:dyDescent="0.3">
      <c r="D40" s="56" t="s">
        <v>142</v>
      </c>
      <c r="F40" s="57"/>
      <c r="G40" s="51">
        <f>G42+G51+G52+G53+G57+G58+G61+G43</f>
        <v>1436365.5660869565</v>
      </c>
      <c r="H40" s="51">
        <f t="shared" ref="H40:BP40" si="70">H42+H51+H52+H53+H57+H58+H61+H43</f>
        <v>1316084.8010432639</v>
      </c>
      <c r="I40" s="51">
        <f t="shared" si="70"/>
        <v>1477318.074086742</v>
      </c>
      <c r="J40" s="51">
        <f t="shared" si="70"/>
        <v>1630489.6834780464</v>
      </c>
      <c r="K40" s="51">
        <f t="shared" si="70"/>
        <v>1776002.7123997856</v>
      </c>
      <c r="L40" s="51">
        <f t="shared" si="70"/>
        <v>1914240.0898754378</v>
      </c>
      <c r="M40" s="51">
        <f t="shared" si="70"/>
        <v>2045565.5984773075</v>
      </c>
      <c r="N40" s="51">
        <f t="shared" si="70"/>
        <v>2170324.8316490832</v>
      </c>
      <c r="O40" s="51">
        <f t="shared" si="70"/>
        <v>2288846.103162271</v>
      </c>
      <c r="P40" s="51">
        <f t="shared" si="70"/>
        <v>2401441.3110997984</v>
      </c>
      <c r="Q40" s="51">
        <f t="shared" si="70"/>
        <v>2508406.75864045</v>
      </c>
      <c r="R40" s="51">
        <f t="shared" si="70"/>
        <v>2610023.9338040692</v>
      </c>
      <c r="S40" s="216">
        <f>SUM(G40:R40)</f>
        <v>23575109.463803209</v>
      </c>
      <c r="T40" s="51">
        <f t="shared" si="70"/>
        <v>2281886.600129188</v>
      </c>
      <c r="U40" s="51">
        <f t="shared" si="70"/>
        <v>2343487.6501227282</v>
      </c>
      <c r="V40" s="51">
        <f t="shared" si="70"/>
        <v>2402008.6476165922</v>
      </c>
      <c r="W40" s="51">
        <f t="shared" si="70"/>
        <v>2457603.5952357627</v>
      </c>
      <c r="X40" s="51">
        <f t="shared" si="70"/>
        <v>2510418.7954739747</v>
      </c>
      <c r="Y40" s="51">
        <f t="shared" si="70"/>
        <v>2560593.2357002757</v>
      </c>
      <c r="Z40" s="51">
        <f t="shared" si="70"/>
        <v>2608258.9539152621</v>
      </c>
      <c r="AA40" s="51">
        <f t="shared" si="70"/>
        <v>2653541.3862194987</v>
      </c>
      <c r="AB40" s="51">
        <f t="shared" si="70"/>
        <v>2696559.6969085238</v>
      </c>
      <c r="AC40" s="51">
        <f t="shared" si="70"/>
        <v>2737427.0920630977</v>
      </c>
      <c r="AD40" s="51">
        <f t="shared" si="70"/>
        <v>2776251.1174599431</v>
      </c>
      <c r="AE40" s="51">
        <f t="shared" si="70"/>
        <v>2813133.9415869457</v>
      </c>
      <c r="AF40" s="99">
        <f>SUM(T40:AE40)</f>
        <v>30841170.712431788</v>
      </c>
      <c r="AG40" s="51">
        <f t="shared" si="70"/>
        <v>3887091.1545075979</v>
      </c>
      <c r="AH40" s="51">
        <f t="shared" si="70"/>
        <v>2867089.9032822186</v>
      </c>
      <c r="AI40" s="51">
        <f t="shared" si="70"/>
        <v>2898712.3146181074</v>
      </c>
      <c r="AJ40" s="51">
        <f t="shared" si="70"/>
        <v>2928753.6053872025</v>
      </c>
      <c r="AK40" s="51">
        <f t="shared" si="70"/>
        <v>2957292.831617842</v>
      </c>
      <c r="AL40" s="51">
        <f t="shared" si="70"/>
        <v>2984405.0965369502</v>
      </c>
      <c r="AM40" s="51">
        <f t="shared" si="70"/>
        <v>3010161.7482101023</v>
      </c>
      <c r="AN40" s="51">
        <f t="shared" si="70"/>
        <v>3034630.5672995974</v>
      </c>
      <c r="AO40" s="51">
        <f t="shared" si="70"/>
        <v>3057875.9454346178</v>
      </c>
      <c r="AP40" s="51">
        <f t="shared" si="70"/>
        <v>3079959.0546628865</v>
      </c>
      <c r="AQ40" s="51">
        <f t="shared" si="70"/>
        <v>3100938.008429742</v>
      </c>
      <c r="AR40" s="51">
        <f t="shared" si="70"/>
        <v>3120868.0145082548</v>
      </c>
      <c r="AS40" s="51">
        <f t="shared" si="70"/>
        <v>3101408.5817828425</v>
      </c>
      <c r="AT40" s="51">
        <f t="shared" si="70"/>
        <v>3119395.4122687005</v>
      </c>
      <c r="AU40" s="51">
        <f t="shared" si="70"/>
        <v>3136482.9012302654</v>
      </c>
      <c r="AV40" s="51">
        <f t="shared" si="70"/>
        <v>3152716.015743752</v>
      </c>
      <c r="AW40" s="51">
        <f t="shared" si="70"/>
        <v>3168137.4745315644</v>
      </c>
      <c r="AX40" s="51">
        <f t="shared" si="70"/>
        <v>3182787.8603799865</v>
      </c>
      <c r="AY40" s="51">
        <f t="shared" si="70"/>
        <v>3196705.7269359869</v>
      </c>
      <c r="AZ40" s="51">
        <f t="shared" si="70"/>
        <v>3209927.7001641872</v>
      </c>
      <c r="BA40" s="51">
        <f t="shared" si="70"/>
        <v>3222488.5747309779</v>
      </c>
      <c r="BB40" s="51">
        <f t="shared" si="70"/>
        <v>3234421.405569429</v>
      </c>
      <c r="BC40" s="51">
        <f t="shared" si="70"/>
        <v>3245757.5948659577</v>
      </c>
      <c r="BD40" s="51">
        <f t="shared" si="70"/>
        <v>3256526.9746976597</v>
      </c>
      <c r="BE40" s="51">
        <f t="shared" si="70"/>
        <v>3355978.9359627767</v>
      </c>
      <c r="BF40" s="51">
        <f t="shared" si="70"/>
        <v>3365698.3012608881</v>
      </c>
      <c r="BG40" s="51">
        <f t="shared" si="70"/>
        <v>3374931.6982940938</v>
      </c>
      <c r="BH40" s="51">
        <f t="shared" si="70"/>
        <v>3383703.4254756393</v>
      </c>
      <c r="BI40" s="51">
        <f t="shared" si="70"/>
        <v>3392036.5662981076</v>
      </c>
      <c r="BJ40" s="51">
        <f t="shared" si="70"/>
        <v>3399953.0500794523</v>
      </c>
      <c r="BK40" s="51">
        <f t="shared" si="70"/>
        <v>3407473.7096717292</v>
      </c>
      <c r="BL40" s="51">
        <f t="shared" si="70"/>
        <v>3414618.336284393</v>
      </c>
      <c r="BM40" s="51">
        <f t="shared" si="70"/>
        <v>3421405.7315664236</v>
      </c>
      <c r="BN40" s="51">
        <f t="shared" si="70"/>
        <v>3427853.7570843524</v>
      </c>
      <c r="BO40" s="51">
        <f t="shared" si="70"/>
        <v>3433979.3813263848</v>
      </c>
      <c r="BP40" s="51">
        <f t="shared" si="70"/>
        <v>3439798.7243563151</v>
      </c>
      <c r="BQ40" s="61">
        <f t="shared" si="2"/>
        <v>170388246.26129204</v>
      </c>
      <c r="BR40" s="143" t="s">
        <v>142</v>
      </c>
      <c r="BS40" s="143"/>
      <c r="BT40" s="144">
        <f>SUM(G40:R40)</f>
        <v>23575109.463803209</v>
      </c>
      <c r="BU40" s="144">
        <f>SUM(T40:AE40)</f>
        <v>30841170.712431788</v>
      </c>
      <c r="BV40" s="144">
        <f>SUM(AG40:AR40)</f>
        <v>36927778.244495124</v>
      </c>
      <c r="BW40" s="144">
        <f>SUM(AS40:BD40)</f>
        <v>38226756.222901307</v>
      </c>
      <c r="BX40" s="144">
        <f>SUM(BE40:BP40)</f>
        <v>40817431.61766056</v>
      </c>
      <c r="BY40" s="51">
        <f>SUM(BT40:BX40)</f>
        <v>170388246.26129198</v>
      </c>
    </row>
    <row r="41" spans="2:78" s="55" customFormat="1" ht="19.5" thickBot="1" x14ac:dyDescent="0.35">
      <c r="D41" s="56"/>
      <c r="F41" s="57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217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61"/>
      <c r="BR41" s="143"/>
      <c r="BS41" s="143"/>
      <c r="BT41" s="143"/>
      <c r="BU41" s="143"/>
      <c r="BV41" s="143"/>
      <c r="BW41" s="143"/>
      <c r="BX41" s="143"/>
    </row>
    <row r="42" spans="2:78" s="93" customFormat="1" ht="32.450000000000003" customHeight="1" thickTop="1" thickBot="1" x14ac:dyDescent="0.35">
      <c r="C42" s="55" t="s">
        <v>186</v>
      </c>
      <c r="D42" s="56" t="s">
        <v>182</v>
      </c>
      <c r="E42" s="272">
        <f>(S12*0.05)/12</f>
        <v>376241.74017369864</v>
      </c>
      <c r="F42" s="179">
        <v>7.5</v>
      </c>
      <c r="G42" s="259">
        <f>G10*7.5+250000</f>
        <v>370000</v>
      </c>
      <c r="H42" s="95">
        <f t="shared" ref="H42:BP42" si="71">H10*7.5</f>
        <v>234000</v>
      </c>
      <c r="I42" s="95">
        <f t="shared" si="71"/>
        <v>342300</v>
      </c>
      <c r="J42" s="95">
        <f t="shared" si="71"/>
        <v>445185</v>
      </c>
      <c r="K42" s="95">
        <f t="shared" si="71"/>
        <v>542925.75</v>
      </c>
      <c r="L42" s="95">
        <f t="shared" si="71"/>
        <v>635779.46250000002</v>
      </c>
      <c r="M42" s="95">
        <f t="shared" si="71"/>
        <v>723990.489375</v>
      </c>
      <c r="N42" s="95">
        <f t="shared" si="71"/>
        <v>807790.96490625001</v>
      </c>
      <c r="O42" s="95">
        <f t="shared" si="71"/>
        <v>887401.41666093748</v>
      </c>
      <c r="P42" s="95">
        <f t="shared" si="71"/>
        <v>963031.34582789056</v>
      </c>
      <c r="Q42" s="95">
        <f t="shared" si="71"/>
        <v>1034879.7785364961</v>
      </c>
      <c r="R42" s="95">
        <f t="shared" si="71"/>
        <v>1103135.7896096713</v>
      </c>
      <c r="S42" s="259">
        <f>SUM(F42:R42)</f>
        <v>8090427.4974162448</v>
      </c>
      <c r="T42" s="95">
        <f t="shared" si="71"/>
        <v>1167979.0001291877</v>
      </c>
      <c r="U42" s="95">
        <f t="shared" si="71"/>
        <v>1229580.0501227283</v>
      </c>
      <c r="V42" s="95">
        <f t="shared" si="71"/>
        <v>1288101.0476165921</v>
      </c>
      <c r="W42" s="95">
        <f t="shared" si="71"/>
        <v>1343695.9952357626</v>
      </c>
      <c r="X42" s="95">
        <f t="shared" si="71"/>
        <v>1396511.1954739746</v>
      </c>
      <c r="Y42" s="95">
        <f t="shared" si="71"/>
        <v>1446685.6357002757</v>
      </c>
      <c r="Z42" s="95">
        <f t="shared" si="71"/>
        <v>1494351.353915262</v>
      </c>
      <c r="AA42" s="95">
        <f t="shared" si="71"/>
        <v>1539633.7862194988</v>
      </c>
      <c r="AB42" s="95">
        <f t="shared" si="71"/>
        <v>1582652.0969085237</v>
      </c>
      <c r="AC42" s="95">
        <f t="shared" si="71"/>
        <v>1623519.4920630977</v>
      </c>
      <c r="AD42" s="95">
        <f t="shared" si="71"/>
        <v>1662343.5174599427</v>
      </c>
      <c r="AE42" s="95">
        <f t="shared" si="71"/>
        <v>1699226.3415869456</v>
      </c>
      <c r="AF42" s="99">
        <f t="shared" ref="AF42:AF65" si="72">SUM(T42:AE42)</f>
        <v>17474279.512431789</v>
      </c>
      <c r="AG42" s="95">
        <f t="shared" si="71"/>
        <v>1734265.0245075983</v>
      </c>
      <c r="AH42" s="95">
        <f t="shared" si="71"/>
        <v>1767551.7732822185</v>
      </c>
      <c r="AI42" s="95">
        <f t="shared" si="71"/>
        <v>1799174.1846181075</v>
      </c>
      <c r="AJ42" s="95">
        <f t="shared" si="71"/>
        <v>1829215.4753872023</v>
      </c>
      <c r="AK42" s="95">
        <f t="shared" si="71"/>
        <v>1857754.7016178421</v>
      </c>
      <c r="AL42" s="95">
        <f t="shared" si="71"/>
        <v>1884866.9665369501</v>
      </c>
      <c r="AM42" s="95">
        <f t="shared" si="71"/>
        <v>1910623.6182101027</v>
      </c>
      <c r="AN42" s="95">
        <f t="shared" si="71"/>
        <v>1935092.4372995975</v>
      </c>
      <c r="AO42" s="95">
        <f t="shared" si="71"/>
        <v>1958337.8154346177</v>
      </c>
      <c r="AP42" s="95">
        <f t="shared" si="71"/>
        <v>1980420.9246628867</v>
      </c>
      <c r="AQ42" s="95">
        <f t="shared" si="71"/>
        <v>2001399.8784297421</v>
      </c>
      <c r="AR42" s="95">
        <f t="shared" si="71"/>
        <v>2021329.8845082547</v>
      </c>
      <c r="AS42" s="95">
        <f t="shared" si="71"/>
        <v>2040263.3902828421</v>
      </c>
      <c r="AT42" s="95">
        <f t="shared" si="71"/>
        <v>2058250.2207687001</v>
      </c>
      <c r="AU42" s="95">
        <f t="shared" si="71"/>
        <v>2075337.7097302652</v>
      </c>
      <c r="AV42" s="95">
        <f t="shared" si="71"/>
        <v>2091570.8242437518</v>
      </c>
      <c r="AW42" s="95">
        <f t="shared" si="71"/>
        <v>2106992.2830315642</v>
      </c>
      <c r="AX42" s="95">
        <f t="shared" si="71"/>
        <v>2121642.6688799863</v>
      </c>
      <c r="AY42" s="95">
        <f t="shared" si="71"/>
        <v>2135560.5354359867</v>
      </c>
      <c r="AZ42" s="95">
        <f t="shared" si="71"/>
        <v>2148782.508664187</v>
      </c>
      <c r="BA42" s="95">
        <f t="shared" si="71"/>
        <v>2161343.3832309777</v>
      </c>
      <c r="BB42" s="95">
        <f t="shared" si="71"/>
        <v>2173276.2140694289</v>
      </c>
      <c r="BC42" s="95">
        <f t="shared" si="71"/>
        <v>2184612.4033659576</v>
      </c>
      <c r="BD42" s="95">
        <f t="shared" si="71"/>
        <v>2195381.7831976595</v>
      </c>
      <c r="BE42" s="95">
        <f t="shared" si="71"/>
        <v>2205612.6940377764</v>
      </c>
      <c r="BF42" s="95">
        <f t="shared" si="71"/>
        <v>2215332.0593358879</v>
      </c>
      <c r="BG42" s="95">
        <f t="shared" si="71"/>
        <v>2224565.4563690936</v>
      </c>
      <c r="BH42" s="95">
        <f t="shared" si="71"/>
        <v>2233337.1835506391</v>
      </c>
      <c r="BI42" s="95">
        <f t="shared" si="71"/>
        <v>2241670.3243731074</v>
      </c>
      <c r="BJ42" s="95">
        <f t="shared" si="71"/>
        <v>2249586.8081544521</v>
      </c>
      <c r="BK42" s="95">
        <f t="shared" si="71"/>
        <v>2257107.467746729</v>
      </c>
      <c r="BL42" s="95">
        <f t="shared" si="71"/>
        <v>2264252.0943593928</v>
      </c>
      <c r="BM42" s="95">
        <f t="shared" si="71"/>
        <v>2271039.4896414233</v>
      </c>
      <c r="BN42" s="95">
        <f t="shared" si="71"/>
        <v>2277487.5151593522</v>
      </c>
      <c r="BO42" s="95">
        <f t="shared" si="71"/>
        <v>2283613.1394013846</v>
      </c>
      <c r="BP42" s="95">
        <f t="shared" si="71"/>
        <v>2289432.4824313149</v>
      </c>
      <c r="BQ42" s="61">
        <f t="shared" si="2"/>
        <v>100750782.83380505</v>
      </c>
      <c r="BR42" s="279" t="s">
        <v>109</v>
      </c>
      <c r="BS42" s="279"/>
      <c r="BT42" s="144">
        <f>SUM(G42:R42)</f>
        <v>8090419.9974162448</v>
      </c>
      <c r="BU42" s="144">
        <f>SUM(T42:AE42)</f>
        <v>17474279.512431789</v>
      </c>
      <c r="BV42" s="144">
        <f>SUM(AG42:AR42)</f>
        <v>22680032.684495121</v>
      </c>
      <c r="BW42" s="144">
        <f>SUM(AS42:BD42)</f>
        <v>25493013.924901307</v>
      </c>
      <c r="BX42" s="144">
        <f>SUM(BE42:BP42)</f>
        <v>27013036.714560553</v>
      </c>
      <c r="BY42" s="39">
        <f>BQ42</f>
        <v>100750782.83380505</v>
      </c>
    </row>
    <row r="43" spans="2:78" s="93" customFormat="1" ht="32.450000000000003" customHeight="1" thickTop="1" thickBot="1" x14ac:dyDescent="0.35">
      <c r="C43" s="55" t="s">
        <v>188</v>
      </c>
      <c r="D43" s="56"/>
      <c r="E43" s="105" t="s">
        <v>123</v>
      </c>
      <c r="F43" s="179"/>
      <c r="G43" s="100">
        <f>SUM(G44:G50)</f>
        <v>108151.82608695653</v>
      </c>
      <c r="H43" s="100">
        <f t="shared" ref="H43:R43" si="73">SUM(H44:H50)</f>
        <v>163871.06086956523</v>
      </c>
      <c r="I43" s="100">
        <f t="shared" si="73"/>
        <v>216804.33391304349</v>
      </c>
      <c r="J43" s="100">
        <f t="shared" si="73"/>
        <v>267090.94330434781</v>
      </c>
      <c r="K43" s="100">
        <f t="shared" si="73"/>
        <v>314863.222226087</v>
      </c>
      <c r="L43" s="100">
        <f t="shared" si="73"/>
        <v>360246.88720173913</v>
      </c>
      <c r="M43" s="100">
        <f t="shared" si="73"/>
        <v>403361.36892860872</v>
      </c>
      <c r="N43" s="100">
        <f t="shared" si="73"/>
        <v>444320.12656913477</v>
      </c>
      <c r="O43" s="100">
        <f t="shared" si="73"/>
        <v>483230.94632763468</v>
      </c>
      <c r="P43" s="100">
        <f t="shared" si="73"/>
        <v>520196.22509820946</v>
      </c>
      <c r="Q43" s="100">
        <f t="shared" si="73"/>
        <v>555313.23993025534</v>
      </c>
      <c r="R43" s="100">
        <f t="shared" si="73"/>
        <v>588674.40402069921</v>
      </c>
      <c r="S43" s="214">
        <f>SUM(G43:R43)</f>
        <v>4426124.584476281</v>
      </c>
      <c r="T43" s="100">
        <f t="shared" ref="T43" si="74">SUM(T44:T50)</f>
        <v>43887</v>
      </c>
      <c r="U43" s="100">
        <f t="shared" ref="U43" si="75">SUM(U44:U50)</f>
        <v>43887</v>
      </c>
      <c r="V43" s="100">
        <f t="shared" ref="V43" si="76">SUM(V44:V50)</f>
        <v>43887</v>
      </c>
      <c r="W43" s="100">
        <f t="shared" ref="W43" si="77">SUM(W44:W50)</f>
        <v>43887</v>
      </c>
      <c r="X43" s="100">
        <f t="shared" ref="X43" si="78">SUM(X44:X50)</f>
        <v>43887</v>
      </c>
      <c r="Y43" s="100">
        <f t="shared" ref="Y43" si="79">SUM(Y44:Y50)</f>
        <v>43887</v>
      </c>
      <c r="Z43" s="100">
        <f t="shared" ref="Z43" si="80">SUM(Z44:Z50)</f>
        <v>43887</v>
      </c>
      <c r="AA43" s="100">
        <f t="shared" ref="AA43" si="81">SUM(AA44:AA50)</f>
        <v>43887</v>
      </c>
      <c r="AB43" s="100">
        <f t="shared" ref="AB43" si="82">SUM(AB44:AB50)</f>
        <v>43887</v>
      </c>
      <c r="AC43" s="100">
        <f t="shared" ref="AC43" si="83">SUM(AC44:AC50)</f>
        <v>43887</v>
      </c>
      <c r="AD43" s="100">
        <f t="shared" ref="AD43" si="84">SUM(AD44:AD50)</f>
        <v>43887</v>
      </c>
      <c r="AE43" s="100">
        <f t="shared" ref="AE43" si="85">SUM(AE44:AE50)</f>
        <v>43887</v>
      </c>
      <c r="AF43" s="99">
        <f t="shared" si="72"/>
        <v>526644</v>
      </c>
      <c r="AG43" s="95">
        <f>SUM(T43:AF43)</f>
        <v>1053288</v>
      </c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5"/>
      <c r="BQ43" s="61">
        <f t="shared" si="2"/>
        <v>6006056.584476281</v>
      </c>
      <c r="BR43" s="182"/>
      <c r="BS43" s="182"/>
      <c r="BT43" s="144"/>
      <c r="BU43" s="144"/>
      <c r="BV43" s="144"/>
      <c r="BW43" s="144"/>
      <c r="BX43" s="144"/>
      <c r="BY43" s="39"/>
    </row>
    <row r="44" spans="2:78" s="93" customFormat="1" ht="15" x14ac:dyDescent="0.25">
      <c r="D44" s="56"/>
      <c r="F44" s="94"/>
      <c r="G44" s="228"/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3">
        <f t="shared" ref="S44:S56" si="86">SUM(F44:R44)</f>
        <v>0</v>
      </c>
      <c r="T44" s="228"/>
      <c r="U44" s="229"/>
      <c r="V44" s="229"/>
      <c r="W44" s="229"/>
      <c r="X44" s="229"/>
      <c r="Y44" s="229"/>
      <c r="Z44" s="229"/>
      <c r="AA44" s="229"/>
      <c r="AB44" s="229"/>
      <c r="AC44" s="229"/>
      <c r="AD44" s="229"/>
      <c r="AE44" s="229"/>
      <c r="AF44" s="240">
        <f t="shared" si="72"/>
        <v>0</v>
      </c>
      <c r="AG44" s="106">
        <f t="shared" ref="AG44:BP44" si="87">AG45+AG46</f>
        <v>1508</v>
      </c>
      <c r="AH44" s="106">
        <f t="shared" si="87"/>
        <v>0</v>
      </c>
      <c r="AI44" s="106">
        <f t="shared" si="87"/>
        <v>0</v>
      </c>
      <c r="AJ44" s="106">
        <f t="shared" si="87"/>
        <v>1509</v>
      </c>
      <c r="AK44" s="106">
        <f t="shared" si="87"/>
        <v>0</v>
      </c>
      <c r="AL44" s="106">
        <f t="shared" si="87"/>
        <v>0</v>
      </c>
      <c r="AM44" s="106">
        <f t="shared" si="87"/>
        <v>1510</v>
      </c>
      <c r="AN44" s="106">
        <f t="shared" si="87"/>
        <v>0</v>
      </c>
      <c r="AO44" s="106">
        <f t="shared" si="87"/>
        <v>0</v>
      </c>
      <c r="AP44" s="106">
        <f t="shared" si="87"/>
        <v>1511</v>
      </c>
      <c r="AQ44" s="106">
        <f t="shared" si="87"/>
        <v>0</v>
      </c>
      <c r="AR44" s="106">
        <f t="shared" si="87"/>
        <v>0</v>
      </c>
      <c r="AS44" s="106">
        <f t="shared" si="87"/>
        <v>1512</v>
      </c>
      <c r="AT44" s="106">
        <f t="shared" si="87"/>
        <v>0</v>
      </c>
      <c r="AU44" s="106">
        <f t="shared" si="87"/>
        <v>0</v>
      </c>
      <c r="AV44" s="106">
        <f t="shared" si="87"/>
        <v>1513</v>
      </c>
      <c r="AW44" s="106">
        <f t="shared" si="87"/>
        <v>0</v>
      </c>
      <c r="AX44" s="106">
        <f t="shared" si="87"/>
        <v>0</v>
      </c>
      <c r="AY44" s="106">
        <f t="shared" si="87"/>
        <v>1514</v>
      </c>
      <c r="AZ44" s="106">
        <f t="shared" si="87"/>
        <v>0</v>
      </c>
      <c r="BA44" s="106">
        <f t="shared" si="87"/>
        <v>0</v>
      </c>
      <c r="BB44" s="106">
        <f t="shared" si="87"/>
        <v>1515</v>
      </c>
      <c r="BC44" s="106">
        <f t="shared" si="87"/>
        <v>0</v>
      </c>
      <c r="BD44" s="106">
        <f t="shared" si="87"/>
        <v>0</v>
      </c>
      <c r="BE44" s="106">
        <f t="shared" si="87"/>
        <v>1516</v>
      </c>
      <c r="BF44" s="106">
        <f t="shared" si="87"/>
        <v>0</v>
      </c>
      <c r="BG44" s="106">
        <f t="shared" si="87"/>
        <v>0</v>
      </c>
      <c r="BH44" s="106">
        <f t="shared" si="87"/>
        <v>1517</v>
      </c>
      <c r="BI44" s="106">
        <f t="shared" si="87"/>
        <v>0</v>
      </c>
      <c r="BJ44" s="106">
        <f t="shared" si="87"/>
        <v>0</v>
      </c>
      <c r="BK44" s="106">
        <f t="shared" si="87"/>
        <v>1518</v>
      </c>
      <c r="BL44" s="106">
        <f t="shared" si="87"/>
        <v>0</v>
      </c>
      <c r="BM44" s="106">
        <f t="shared" si="87"/>
        <v>0</v>
      </c>
      <c r="BN44" s="106">
        <f t="shared" si="87"/>
        <v>1519</v>
      </c>
      <c r="BO44" s="106">
        <f t="shared" si="87"/>
        <v>0</v>
      </c>
      <c r="BP44" s="106">
        <f t="shared" si="87"/>
        <v>0</v>
      </c>
      <c r="BQ44" s="61">
        <f t="shared" si="2"/>
        <v>18162</v>
      </c>
      <c r="BR44" s="56"/>
      <c r="BS44" s="101"/>
      <c r="BT44" s="54"/>
      <c r="BU44" s="54"/>
      <c r="BV44" s="54"/>
      <c r="BW44" s="54"/>
      <c r="BX44" s="54"/>
      <c r="BY44" s="54"/>
    </row>
    <row r="45" spans="2:78" s="93" customFormat="1" ht="15" x14ac:dyDescent="0.25">
      <c r="C45" s="93" t="s">
        <v>188</v>
      </c>
      <c r="D45" s="56"/>
      <c r="E45" s="105" t="s">
        <v>126</v>
      </c>
      <c r="F45" s="94"/>
      <c r="G45" s="230">
        <v>17500</v>
      </c>
      <c r="H45" s="106">
        <v>17500</v>
      </c>
      <c r="I45" s="106">
        <v>17500</v>
      </c>
      <c r="J45" s="106">
        <v>17500</v>
      </c>
      <c r="K45" s="106">
        <v>17500</v>
      </c>
      <c r="L45" s="106">
        <v>17500</v>
      </c>
      <c r="M45" s="106">
        <v>17500</v>
      </c>
      <c r="N45" s="106">
        <v>17500</v>
      </c>
      <c r="O45" s="106">
        <v>17500</v>
      </c>
      <c r="P45" s="106">
        <v>17500</v>
      </c>
      <c r="Q45" s="106">
        <v>17500</v>
      </c>
      <c r="R45" s="106">
        <v>17500</v>
      </c>
      <c r="S45" s="227">
        <f t="shared" si="86"/>
        <v>210000</v>
      </c>
      <c r="T45" s="230">
        <f>R45*1.05</f>
        <v>18375</v>
      </c>
      <c r="U45" s="106">
        <f>T45</f>
        <v>18375</v>
      </c>
      <c r="V45" s="106">
        <f t="shared" ref="V45:AE45" si="88">U45</f>
        <v>18375</v>
      </c>
      <c r="W45" s="106">
        <f t="shared" si="88"/>
        <v>18375</v>
      </c>
      <c r="X45" s="106">
        <f t="shared" si="88"/>
        <v>18375</v>
      </c>
      <c r="Y45" s="106">
        <f t="shared" si="88"/>
        <v>18375</v>
      </c>
      <c r="Z45" s="106">
        <f t="shared" si="88"/>
        <v>18375</v>
      </c>
      <c r="AA45" s="106">
        <f t="shared" si="88"/>
        <v>18375</v>
      </c>
      <c r="AB45" s="106">
        <f t="shared" si="88"/>
        <v>18375</v>
      </c>
      <c r="AC45" s="106">
        <f t="shared" si="88"/>
        <v>18375</v>
      </c>
      <c r="AD45" s="106">
        <f t="shared" si="88"/>
        <v>18375</v>
      </c>
      <c r="AE45" s="106">
        <f t="shared" si="88"/>
        <v>18375</v>
      </c>
      <c r="AF45" s="241">
        <f t="shared" si="72"/>
        <v>220500</v>
      </c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  <c r="BM45" s="106"/>
      <c r="BN45" s="106"/>
      <c r="BO45" s="106"/>
      <c r="BP45" s="106"/>
      <c r="BQ45" s="61">
        <f t="shared" si="2"/>
        <v>430500</v>
      </c>
      <c r="BR45" s="56"/>
      <c r="BS45" s="101"/>
      <c r="BT45" s="54"/>
      <c r="BU45" s="54"/>
      <c r="BV45" s="54"/>
      <c r="BW45" s="54"/>
      <c r="BX45" s="54"/>
      <c r="BY45" s="54"/>
    </row>
    <row r="46" spans="2:78" s="93" customFormat="1" ht="15" x14ac:dyDescent="0.25">
      <c r="C46" s="93" t="s">
        <v>188</v>
      </c>
      <c r="D46" s="56"/>
      <c r="E46" s="105" t="s">
        <v>124</v>
      </c>
      <c r="F46" s="94"/>
      <c r="G46" s="230">
        <v>2000</v>
      </c>
      <c r="H46" s="106">
        <v>2000</v>
      </c>
      <c r="I46" s="106">
        <v>2000</v>
      </c>
      <c r="J46" s="106">
        <v>2000</v>
      </c>
      <c r="K46" s="106">
        <v>2000</v>
      </c>
      <c r="L46" s="106">
        <v>2000</v>
      </c>
      <c r="M46" s="106">
        <v>2000</v>
      </c>
      <c r="N46" s="106">
        <v>2000</v>
      </c>
      <c r="O46" s="106">
        <v>2000</v>
      </c>
      <c r="P46" s="106">
        <v>2000</v>
      </c>
      <c r="Q46" s="106">
        <v>2000</v>
      </c>
      <c r="R46" s="106">
        <v>2000</v>
      </c>
      <c r="S46" s="227">
        <f t="shared" si="86"/>
        <v>24000</v>
      </c>
      <c r="T46" s="230">
        <v>1504</v>
      </c>
      <c r="U46" s="106">
        <f>T46</f>
        <v>1504</v>
      </c>
      <c r="V46" s="106">
        <f t="shared" ref="V46:AE46" si="89">U46</f>
        <v>1504</v>
      </c>
      <c r="W46" s="106">
        <f t="shared" si="89"/>
        <v>1504</v>
      </c>
      <c r="X46" s="106">
        <f t="shared" si="89"/>
        <v>1504</v>
      </c>
      <c r="Y46" s="106">
        <f t="shared" si="89"/>
        <v>1504</v>
      </c>
      <c r="Z46" s="106">
        <f t="shared" si="89"/>
        <v>1504</v>
      </c>
      <c r="AA46" s="106">
        <f t="shared" si="89"/>
        <v>1504</v>
      </c>
      <c r="AB46" s="106">
        <f t="shared" si="89"/>
        <v>1504</v>
      </c>
      <c r="AC46" s="106">
        <f t="shared" si="89"/>
        <v>1504</v>
      </c>
      <c r="AD46" s="106">
        <f t="shared" si="89"/>
        <v>1504</v>
      </c>
      <c r="AE46" s="106">
        <f t="shared" si="89"/>
        <v>1504</v>
      </c>
      <c r="AF46" s="241">
        <f t="shared" si="72"/>
        <v>18048</v>
      </c>
      <c r="AG46" s="106">
        <v>1508</v>
      </c>
      <c r="AH46" s="106"/>
      <c r="AI46" s="106"/>
      <c r="AJ46" s="106">
        <v>1509</v>
      </c>
      <c r="AK46" s="106"/>
      <c r="AL46" s="106"/>
      <c r="AM46" s="106">
        <v>1510</v>
      </c>
      <c r="AN46" s="106"/>
      <c r="AO46" s="106"/>
      <c r="AP46" s="106">
        <v>1511</v>
      </c>
      <c r="AQ46" s="106"/>
      <c r="AR46" s="106"/>
      <c r="AS46" s="106">
        <v>1512</v>
      </c>
      <c r="AT46" s="106"/>
      <c r="AU46" s="106"/>
      <c r="AV46" s="106">
        <v>1513</v>
      </c>
      <c r="AW46" s="106"/>
      <c r="AX46" s="106"/>
      <c r="AY46" s="106">
        <v>1514</v>
      </c>
      <c r="AZ46" s="106"/>
      <c r="BA46" s="106"/>
      <c r="BB46" s="106">
        <v>1515</v>
      </c>
      <c r="BC46" s="106"/>
      <c r="BD46" s="106"/>
      <c r="BE46" s="106">
        <v>1516</v>
      </c>
      <c r="BF46" s="106"/>
      <c r="BG46" s="106"/>
      <c r="BH46" s="106">
        <v>1517</v>
      </c>
      <c r="BI46" s="106"/>
      <c r="BJ46" s="106"/>
      <c r="BK46" s="106">
        <v>1518</v>
      </c>
      <c r="BL46" s="106"/>
      <c r="BM46" s="106"/>
      <c r="BN46" s="106">
        <v>1519</v>
      </c>
      <c r="BO46" s="106"/>
      <c r="BP46" s="106"/>
      <c r="BQ46" s="61">
        <f t="shared" si="2"/>
        <v>60210</v>
      </c>
      <c r="BR46" s="56"/>
      <c r="BS46" s="101"/>
      <c r="BT46" s="54"/>
      <c r="BU46" s="54"/>
      <c r="BV46" s="54"/>
      <c r="BW46" s="54"/>
      <c r="BX46" s="54"/>
      <c r="BY46" s="54"/>
    </row>
    <row r="47" spans="2:78" s="93" customFormat="1" ht="15" x14ac:dyDescent="0.25">
      <c r="C47" s="93" t="s">
        <v>188</v>
      </c>
      <c r="D47" s="56"/>
      <c r="E47" s="105" t="s">
        <v>178</v>
      </c>
      <c r="F47" s="94"/>
      <c r="G47" s="230">
        <f>6000+2000+2000</f>
        <v>10000</v>
      </c>
      <c r="H47" s="106">
        <f t="shared" ref="H47:R47" si="90">6000+2000+2000</f>
        <v>10000</v>
      </c>
      <c r="I47" s="106">
        <f t="shared" si="90"/>
        <v>10000</v>
      </c>
      <c r="J47" s="106">
        <f t="shared" si="90"/>
        <v>10000</v>
      </c>
      <c r="K47" s="106">
        <f t="shared" si="90"/>
        <v>10000</v>
      </c>
      <c r="L47" s="106">
        <f t="shared" si="90"/>
        <v>10000</v>
      </c>
      <c r="M47" s="106">
        <f t="shared" si="90"/>
        <v>10000</v>
      </c>
      <c r="N47" s="106">
        <f t="shared" si="90"/>
        <v>10000</v>
      </c>
      <c r="O47" s="106">
        <f t="shared" si="90"/>
        <v>10000</v>
      </c>
      <c r="P47" s="106">
        <f t="shared" si="90"/>
        <v>10000</v>
      </c>
      <c r="Q47" s="106">
        <f t="shared" si="90"/>
        <v>10000</v>
      </c>
      <c r="R47" s="106">
        <f t="shared" si="90"/>
        <v>10000</v>
      </c>
      <c r="S47" s="227">
        <f t="shared" si="86"/>
        <v>120000</v>
      </c>
      <c r="T47" s="230">
        <v>1504</v>
      </c>
      <c r="U47" s="106">
        <f>T47</f>
        <v>1504</v>
      </c>
      <c r="V47" s="106">
        <f t="shared" ref="V47:AE47" si="91">U47</f>
        <v>1504</v>
      </c>
      <c r="W47" s="106">
        <f t="shared" si="91"/>
        <v>1504</v>
      </c>
      <c r="X47" s="106">
        <f t="shared" si="91"/>
        <v>1504</v>
      </c>
      <c r="Y47" s="106">
        <f t="shared" si="91"/>
        <v>1504</v>
      </c>
      <c r="Z47" s="106">
        <f t="shared" si="91"/>
        <v>1504</v>
      </c>
      <c r="AA47" s="106">
        <f t="shared" si="91"/>
        <v>1504</v>
      </c>
      <c r="AB47" s="106">
        <f t="shared" si="91"/>
        <v>1504</v>
      </c>
      <c r="AC47" s="106">
        <f t="shared" si="91"/>
        <v>1504</v>
      </c>
      <c r="AD47" s="106">
        <f t="shared" si="91"/>
        <v>1504</v>
      </c>
      <c r="AE47" s="106">
        <f t="shared" si="91"/>
        <v>1504</v>
      </c>
      <c r="AF47" s="241">
        <f t="shared" si="72"/>
        <v>18048</v>
      </c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  <c r="BM47" s="106"/>
      <c r="BN47" s="106"/>
      <c r="BO47" s="106"/>
      <c r="BP47" s="106"/>
      <c r="BQ47" s="61">
        <f t="shared" si="2"/>
        <v>138048</v>
      </c>
      <c r="BR47" s="56"/>
      <c r="BS47" s="101"/>
      <c r="BT47" s="54"/>
      <c r="BU47" s="54"/>
      <c r="BV47" s="54"/>
      <c r="BW47" s="54"/>
      <c r="BX47" s="54"/>
      <c r="BY47" s="54"/>
    </row>
    <row r="48" spans="2:78" s="93" customFormat="1" ht="15" x14ac:dyDescent="0.25">
      <c r="C48" s="93" t="s">
        <v>188</v>
      </c>
      <c r="D48" s="56"/>
      <c r="E48" s="105" t="s">
        <v>179</v>
      </c>
      <c r="F48" s="94"/>
      <c r="G48" s="230">
        <f>G18*0.045</f>
        <v>58651.826086956527</v>
      </c>
      <c r="H48" s="106">
        <f t="shared" ref="H48:R48" si="92">H18*0.045</f>
        <v>114371.06086956523</v>
      </c>
      <c r="I48" s="106">
        <f t="shared" si="92"/>
        <v>167304.33391304349</v>
      </c>
      <c r="J48" s="106">
        <f t="shared" si="92"/>
        <v>217590.94330434783</v>
      </c>
      <c r="K48" s="106">
        <f t="shared" si="92"/>
        <v>265363.222226087</v>
      </c>
      <c r="L48" s="106">
        <f t="shared" si="92"/>
        <v>310746.88720173913</v>
      </c>
      <c r="M48" s="106">
        <f t="shared" si="92"/>
        <v>353861.36892860872</v>
      </c>
      <c r="N48" s="106">
        <f t="shared" si="92"/>
        <v>394820.12656913477</v>
      </c>
      <c r="O48" s="106">
        <f t="shared" si="92"/>
        <v>433730.94632763468</v>
      </c>
      <c r="P48" s="106">
        <f t="shared" si="92"/>
        <v>470696.22509820946</v>
      </c>
      <c r="Q48" s="106">
        <f t="shared" si="92"/>
        <v>505813.2399302554</v>
      </c>
      <c r="R48" s="106">
        <f t="shared" si="92"/>
        <v>539174.40402069921</v>
      </c>
      <c r="S48" s="227">
        <f t="shared" si="86"/>
        <v>3832124.5844762814</v>
      </c>
      <c r="T48" s="230">
        <v>1504</v>
      </c>
      <c r="U48" s="106">
        <f>T48</f>
        <v>1504</v>
      </c>
      <c r="V48" s="106">
        <f t="shared" ref="V48:AE48" si="93">U48</f>
        <v>1504</v>
      </c>
      <c r="W48" s="106">
        <f t="shared" si="93"/>
        <v>1504</v>
      </c>
      <c r="X48" s="106">
        <f t="shared" si="93"/>
        <v>1504</v>
      </c>
      <c r="Y48" s="106">
        <f t="shared" si="93"/>
        <v>1504</v>
      </c>
      <c r="Z48" s="106">
        <f t="shared" si="93"/>
        <v>1504</v>
      </c>
      <c r="AA48" s="106">
        <f t="shared" si="93"/>
        <v>1504</v>
      </c>
      <c r="AB48" s="106">
        <f t="shared" si="93"/>
        <v>1504</v>
      </c>
      <c r="AC48" s="106">
        <f t="shared" si="93"/>
        <v>1504</v>
      </c>
      <c r="AD48" s="106">
        <f t="shared" si="93"/>
        <v>1504</v>
      </c>
      <c r="AE48" s="106">
        <f t="shared" si="93"/>
        <v>1504</v>
      </c>
      <c r="AF48" s="241">
        <f t="shared" si="72"/>
        <v>18048</v>
      </c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  <c r="BE48" s="106"/>
      <c r="BF48" s="106"/>
      <c r="BG48" s="106"/>
      <c r="BH48" s="106"/>
      <c r="BI48" s="106"/>
      <c r="BJ48" s="106"/>
      <c r="BK48" s="106"/>
      <c r="BL48" s="106"/>
      <c r="BM48" s="106"/>
      <c r="BN48" s="106"/>
      <c r="BO48" s="106"/>
      <c r="BP48" s="106"/>
      <c r="BQ48" s="61">
        <f t="shared" si="2"/>
        <v>3850172.5844762814</v>
      </c>
      <c r="BR48" s="56"/>
      <c r="BS48" s="101"/>
      <c r="BT48" s="54"/>
      <c r="BU48" s="54"/>
      <c r="BV48" s="54"/>
      <c r="BW48" s="54"/>
      <c r="BX48" s="54"/>
      <c r="BY48" s="54"/>
    </row>
    <row r="49" spans="2:78" s="93" customFormat="1" ht="15" x14ac:dyDescent="0.25">
      <c r="D49" s="56"/>
      <c r="E49" s="105" t="s">
        <v>180</v>
      </c>
      <c r="F49" s="94"/>
      <c r="G49" s="230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227"/>
      <c r="T49" s="230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241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6"/>
      <c r="BQ49" s="61"/>
      <c r="BR49" s="56"/>
      <c r="BS49" s="101"/>
      <c r="BT49" s="54"/>
      <c r="BU49" s="54"/>
      <c r="BV49" s="54"/>
      <c r="BW49" s="54"/>
      <c r="BX49" s="54"/>
      <c r="BY49" s="54"/>
    </row>
    <row r="50" spans="2:78" s="93" customFormat="1" ht="15.75" thickBot="1" x14ac:dyDescent="0.3">
      <c r="C50" s="93" t="s">
        <v>188</v>
      </c>
      <c r="D50" s="101" t="s">
        <v>125</v>
      </c>
      <c r="E50" s="101" t="s">
        <v>131</v>
      </c>
      <c r="F50" s="94"/>
      <c r="G50" s="231">
        <v>20000</v>
      </c>
      <c r="H50" s="232">
        <v>20000</v>
      </c>
      <c r="I50" s="232">
        <v>20000</v>
      </c>
      <c r="J50" s="232">
        <v>20000</v>
      </c>
      <c r="K50" s="232">
        <v>20000</v>
      </c>
      <c r="L50" s="232">
        <v>20000</v>
      </c>
      <c r="M50" s="232">
        <v>20000</v>
      </c>
      <c r="N50" s="232">
        <v>20000</v>
      </c>
      <c r="O50" s="232">
        <v>20000</v>
      </c>
      <c r="P50" s="232">
        <v>20000</v>
      </c>
      <c r="Q50" s="232">
        <v>20000</v>
      </c>
      <c r="R50" s="232">
        <v>20000</v>
      </c>
      <c r="S50" s="225">
        <f t="shared" si="86"/>
        <v>240000</v>
      </c>
      <c r="T50" s="231">
        <f>R50*1.05</f>
        <v>21000</v>
      </c>
      <c r="U50" s="232">
        <f>T50</f>
        <v>21000</v>
      </c>
      <c r="V50" s="232">
        <f t="shared" ref="V50:AE50" si="94">U50</f>
        <v>21000</v>
      </c>
      <c r="W50" s="232">
        <f t="shared" si="94"/>
        <v>21000</v>
      </c>
      <c r="X50" s="232">
        <f t="shared" si="94"/>
        <v>21000</v>
      </c>
      <c r="Y50" s="232">
        <f t="shared" si="94"/>
        <v>21000</v>
      </c>
      <c r="Z50" s="232">
        <f t="shared" si="94"/>
        <v>21000</v>
      </c>
      <c r="AA50" s="232">
        <f t="shared" si="94"/>
        <v>21000</v>
      </c>
      <c r="AB50" s="232">
        <f t="shared" si="94"/>
        <v>21000</v>
      </c>
      <c r="AC50" s="232">
        <f t="shared" si="94"/>
        <v>21000</v>
      </c>
      <c r="AD50" s="232">
        <f t="shared" si="94"/>
        <v>21000</v>
      </c>
      <c r="AE50" s="232">
        <f t="shared" si="94"/>
        <v>21000</v>
      </c>
      <c r="AF50" s="242">
        <f t="shared" si="72"/>
        <v>252000</v>
      </c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  <c r="BM50" s="106"/>
      <c r="BN50" s="106"/>
      <c r="BO50" s="106"/>
      <c r="BP50" s="106"/>
      <c r="BQ50" s="61">
        <f t="shared" si="2"/>
        <v>492000</v>
      </c>
      <c r="BR50" s="56"/>
      <c r="BS50" s="101"/>
      <c r="BT50" s="54"/>
      <c r="BU50" s="54"/>
      <c r="BV50" s="54"/>
      <c r="BW50" s="54"/>
      <c r="BX50" s="54"/>
      <c r="BY50" s="54"/>
    </row>
    <row r="51" spans="2:78" s="256" customFormat="1" x14ac:dyDescent="0.3">
      <c r="C51" s="256" t="s">
        <v>186</v>
      </c>
      <c r="D51" s="245" t="s">
        <v>162</v>
      </c>
      <c r="E51" s="245" t="s">
        <v>163</v>
      </c>
      <c r="F51" s="257"/>
      <c r="G51" s="258">
        <f>376241.74</f>
        <v>376241.74</v>
      </c>
      <c r="H51" s="258">
        <f>E42</f>
        <v>376241.74017369864</v>
      </c>
      <c r="I51" s="258">
        <f>H51</f>
        <v>376241.74017369864</v>
      </c>
      <c r="J51" s="258">
        <f t="shared" ref="J51:R51" si="95">I51</f>
        <v>376241.74017369864</v>
      </c>
      <c r="K51" s="258">
        <f t="shared" si="95"/>
        <v>376241.74017369864</v>
      </c>
      <c r="L51" s="258">
        <f t="shared" si="95"/>
        <v>376241.74017369864</v>
      </c>
      <c r="M51" s="258">
        <f t="shared" si="95"/>
        <v>376241.74017369864</v>
      </c>
      <c r="N51" s="258">
        <f t="shared" si="95"/>
        <v>376241.74017369864</v>
      </c>
      <c r="O51" s="258">
        <f t="shared" si="95"/>
        <v>376241.74017369864</v>
      </c>
      <c r="P51" s="258">
        <f t="shared" si="95"/>
        <v>376241.74017369864</v>
      </c>
      <c r="Q51" s="258">
        <f t="shared" si="95"/>
        <v>376241.74017369864</v>
      </c>
      <c r="R51" s="258">
        <f t="shared" si="95"/>
        <v>376241.74017369864</v>
      </c>
      <c r="S51" s="259">
        <f t="shared" si="86"/>
        <v>4514900.8819106836</v>
      </c>
      <c r="T51" s="258">
        <v>500000</v>
      </c>
      <c r="U51" s="258">
        <v>500000</v>
      </c>
      <c r="V51" s="258">
        <v>500000</v>
      </c>
      <c r="W51" s="258">
        <v>500000</v>
      </c>
      <c r="X51" s="258">
        <v>500000</v>
      </c>
      <c r="Y51" s="258">
        <v>500000</v>
      </c>
      <c r="Z51" s="258">
        <v>500000</v>
      </c>
      <c r="AA51" s="258">
        <v>500000</v>
      </c>
      <c r="AB51" s="258">
        <v>500000</v>
      </c>
      <c r="AC51" s="258">
        <v>500000</v>
      </c>
      <c r="AD51" s="258">
        <v>500000</v>
      </c>
      <c r="AE51" s="258">
        <v>500000</v>
      </c>
      <c r="AF51" s="248">
        <f t="shared" si="72"/>
        <v>6000000</v>
      </c>
      <c r="AG51" s="258">
        <v>500000</v>
      </c>
      <c r="AH51" s="258">
        <v>500000</v>
      </c>
      <c r="AI51" s="258">
        <v>500000</v>
      </c>
      <c r="AJ51" s="258">
        <v>500000</v>
      </c>
      <c r="AK51" s="258">
        <v>500000</v>
      </c>
      <c r="AL51" s="258">
        <v>500000</v>
      </c>
      <c r="AM51" s="258">
        <v>500000</v>
      </c>
      <c r="AN51" s="258">
        <v>500000</v>
      </c>
      <c r="AO51" s="258">
        <v>500000</v>
      </c>
      <c r="AP51" s="258">
        <v>500000</v>
      </c>
      <c r="AQ51" s="258">
        <v>500000</v>
      </c>
      <c r="AR51" s="258">
        <v>500000</v>
      </c>
      <c r="AS51" s="258">
        <v>500000</v>
      </c>
      <c r="AT51" s="258">
        <v>500000</v>
      </c>
      <c r="AU51" s="258">
        <v>500000</v>
      </c>
      <c r="AV51" s="258">
        <v>500000</v>
      </c>
      <c r="AW51" s="258">
        <v>500000</v>
      </c>
      <c r="AX51" s="258">
        <v>500000</v>
      </c>
      <c r="AY51" s="258">
        <v>500000</v>
      </c>
      <c r="AZ51" s="258">
        <v>500000</v>
      </c>
      <c r="BA51" s="258">
        <v>500000</v>
      </c>
      <c r="BB51" s="258">
        <v>500000</v>
      </c>
      <c r="BC51" s="258">
        <v>500000</v>
      </c>
      <c r="BD51" s="258">
        <v>500000</v>
      </c>
      <c r="BE51" s="258">
        <v>500000</v>
      </c>
      <c r="BF51" s="258">
        <v>500000</v>
      </c>
      <c r="BG51" s="258">
        <v>500000</v>
      </c>
      <c r="BH51" s="258">
        <v>500000</v>
      </c>
      <c r="BI51" s="258">
        <v>500000</v>
      </c>
      <c r="BJ51" s="258">
        <v>500000</v>
      </c>
      <c r="BK51" s="258">
        <v>500000</v>
      </c>
      <c r="BL51" s="258">
        <v>500000</v>
      </c>
      <c r="BM51" s="258">
        <v>500000</v>
      </c>
      <c r="BN51" s="258">
        <v>500000</v>
      </c>
      <c r="BO51" s="258">
        <v>500000</v>
      </c>
      <c r="BP51" s="258">
        <v>500000</v>
      </c>
      <c r="BQ51" s="61">
        <f>SUM(G51:BP51)-AF51-S51</f>
        <v>28514900.881910682</v>
      </c>
      <c r="BR51" s="250"/>
      <c r="BS51" s="250"/>
      <c r="BT51" s="260">
        <v>2134926.4695652178</v>
      </c>
      <c r="BU51" s="260">
        <v>2134926.4695652178</v>
      </c>
      <c r="BV51" s="260">
        <v>2134926.4695652178</v>
      </c>
      <c r="BW51" s="260">
        <v>2134926.4695652178</v>
      </c>
      <c r="BX51" s="260">
        <v>2134926.4695652178</v>
      </c>
      <c r="BY51" s="261">
        <v>10674632.347826075</v>
      </c>
    </row>
    <row r="52" spans="2:78" s="55" customFormat="1" x14ac:dyDescent="0.3">
      <c r="C52" s="55" t="s">
        <v>188</v>
      </c>
      <c r="D52" s="56" t="s">
        <v>130</v>
      </c>
      <c r="E52" s="56" t="s">
        <v>140</v>
      </c>
      <c r="F52" s="59"/>
      <c r="G52" s="100">
        <f>G53+G54+G55+G56</f>
        <v>84472</v>
      </c>
      <c r="H52" s="100">
        <f t="shared" ref="H52:BP52" si="96">H54+H55+H56</f>
        <v>44472</v>
      </c>
      <c r="I52" s="100">
        <f t="shared" si="96"/>
        <v>44472</v>
      </c>
      <c r="J52" s="100">
        <f t="shared" si="96"/>
        <v>44472</v>
      </c>
      <c r="K52" s="100">
        <f t="shared" si="96"/>
        <v>44472</v>
      </c>
      <c r="L52" s="100">
        <f t="shared" si="96"/>
        <v>44472</v>
      </c>
      <c r="M52" s="100">
        <f t="shared" si="96"/>
        <v>44472</v>
      </c>
      <c r="N52" s="100">
        <f t="shared" si="96"/>
        <v>44472</v>
      </c>
      <c r="O52" s="100">
        <f t="shared" si="96"/>
        <v>44472</v>
      </c>
      <c r="P52" s="100">
        <f t="shared" si="96"/>
        <v>44472</v>
      </c>
      <c r="Q52" s="100">
        <f t="shared" si="96"/>
        <v>44472</v>
      </c>
      <c r="R52" s="100">
        <f t="shared" si="96"/>
        <v>44472</v>
      </c>
      <c r="S52" s="214">
        <f t="shared" si="86"/>
        <v>573664</v>
      </c>
      <c r="T52" s="100">
        <f t="shared" si="96"/>
        <v>46695.6</v>
      </c>
      <c r="U52" s="100">
        <f t="shared" si="96"/>
        <v>46695.6</v>
      </c>
      <c r="V52" s="100">
        <f t="shared" si="96"/>
        <v>46695.6</v>
      </c>
      <c r="W52" s="100">
        <f t="shared" si="96"/>
        <v>46695.6</v>
      </c>
      <c r="X52" s="100">
        <f t="shared" si="96"/>
        <v>46695.6</v>
      </c>
      <c r="Y52" s="100">
        <f t="shared" si="96"/>
        <v>46695.6</v>
      </c>
      <c r="Z52" s="100">
        <f t="shared" si="96"/>
        <v>46695.6</v>
      </c>
      <c r="AA52" s="100">
        <f t="shared" si="96"/>
        <v>46695.6</v>
      </c>
      <c r="AB52" s="100">
        <f t="shared" si="96"/>
        <v>46695.6</v>
      </c>
      <c r="AC52" s="100">
        <f t="shared" si="96"/>
        <v>46695.6</v>
      </c>
      <c r="AD52" s="100">
        <f t="shared" si="96"/>
        <v>46695.6</v>
      </c>
      <c r="AE52" s="100">
        <f t="shared" si="96"/>
        <v>46695.6</v>
      </c>
      <c r="AF52" s="99">
        <f t="shared" si="72"/>
        <v>560347.19999999984</v>
      </c>
      <c r="AG52" s="100">
        <f t="shared" si="96"/>
        <v>49030.380000000005</v>
      </c>
      <c r="AH52" s="100">
        <f t="shared" si="96"/>
        <v>49030.380000000005</v>
      </c>
      <c r="AI52" s="100">
        <f t="shared" si="96"/>
        <v>49030.380000000005</v>
      </c>
      <c r="AJ52" s="100">
        <f t="shared" si="96"/>
        <v>49030.380000000005</v>
      </c>
      <c r="AK52" s="100">
        <f t="shared" si="96"/>
        <v>49030.380000000005</v>
      </c>
      <c r="AL52" s="100">
        <f t="shared" si="96"/>
        <v>49030.380000000005</v>
      </c>
      <c r="AM52" s="100">
        <f t="shared" si="96"/>
        <v>49030.380000000005</v>
      </c>
      <c r="AN52" s="100">
        <f t="shared" si="96"/>
        <v>49030.380000000005</v>
      </c>
      <c r="AO52" s="100">
        <f t="shared" si="96"/>
        <v>49030.380000000005</v>
      </c>
      <c r="AP52" s="100">
        <f t="shared" si="96"/>
        <v>49030.380000000005</v>
      </c>
      <c r="AQ52" s="100">
        <f t="shared" si="96"/>
        <v>49030.380000000005</v>
      </c>
      <c r="AR52" s="100">
        <f t="shared" si="96"/>
        <v>49030.380000000005</v>
      </c>
      <c r="AS52" s="100">
        <f t="shared" si="96"/>
        <v>51481.899000000005</v>
      </c>
      <c r="AT52" s="100">
        <f t="shared" si="96"/>
        <v>51481.899000000005</v>
      </c>
      <c r="AU52" s="100">
        <f t="shared" si="96"/>
        <v>51481.899000000005</v>
      </c>
      <c r="AV52" s="100">
        <f t="shared" si="96"/>
        <v>51481.899000000005</v>
      </c>
      <c r="AW52" s="100">
        <f t="shared" si="96"/>
        <v>51481.899000000005</v>
      </c>
      <c r="AX52" s="100">
        <f t="shared" si="96"/>
        <v>51481.899000000005</v>
      </c>
      <c r="AY52" s="100">
        <f t="shared" si="96"/>
        <v>51481.899000000005</v>
      </c>
      <c r="AZ52" s="100">
        <f t="shared" si="96"/>
        <v>51481.899000000005</v>
      </c>
      <c r="BA52" s="100">
        <f t="shared" si="96"/>
        <v>51481.899000000005</v>
      </c>
      <c r="BB52" s="100">
        <f t="shared" si="96"/>
        <v>51481.899000000005</v>
      </c>
      <c r="BC52" s="100">
        <f t="shared" si="96"/>
        <v>51481.899000000005</v>
      </c>
      <c r="BD52" s="100">
        <f t="shared" si="96"/>
        <v>51481.899000000005</v>
      </c>
      <c r="BE52" s="100">
        <f t="shared" si="96"/>
        <v>54055.993950000011</v>
      </c>
      <c r="BF52" s="100">
        <f t="shared" si="96"/>
        <v>54055.993950000011</v>
      </c>
      <c r="BG52" s="100">
        <f t="shared" si="96"/>
        <v>54055.993950000011</v>
      </c>
      <c r="BH52" s="100">
        <f t="shared" si="96"/>
        <v>54055.993950000011</v>
      </c>
      <c r="BI52" s="100">
        <f t="shared" si="96"/>
        <v>54055.993950000011</v>
      </c>
      <c r="BJ52" s="100">
        <f t="shared" si="96"/>
        <v>54055.993950000011</v>
      </c>
      <c r="BK52" s="100">
        <f t="shared" si="96"/>
        <v>54055.993950000011</v>
      </c>
      <c r="BL52" s="100">
        <f t="shared" si="96"/>
        <v>54055.993950000011</v>
      </c>
      <c r="BM52" s="100">
        <f t="shared" si="96"/>
        <v>54055.993950000011</v>
      </c>
      <c r="BN52" s="100">
        <f t="shared" si="96"/>
        <v>54055.993950000011</v>
      </c>
      <c r="BO52" s="100">
        <f t="shared" si="96"/>
        <v>54055.993950000011</v>
      </c>
      <c r="BP52" s="100">
        <f t="shared" si="96"/>
        <v>54055.993950000011</v>
      </c>
      <c r="BQ52" s="61">
        <f t="shared" ref="BQ52:BQ70" si="97">SUM(G52:BP52)-AF52-S52</f>
        <v>2988830.4754000027</v>
      </c>
      <c r="BR52" s="143" t="s">
        <v>130</v>
      </c>
      <c r="BS52" s="143" t="s">
        <v>140</v>
      </c>
      <c r="BT52" s="144">
        <f t="shared" ref="BT52:BT60" si="98">SUM(G52:R52)</f>
        <v>573664</v>
      </c>
      <c r="BU52" s="144">
        <f t="shared" ref="BU52:BU60" si="99">SUM(T52:AE52)</f>
        <v>560347.19999999984</v>
      </c>
      <c r="BV52" s="144">
        <f t="shared" ref="BV52:BV60" si="100">SUM(AG52:AR52)</f>
        <v>588364.56000000006</v>
      </c>
      <c r="BW52" s="144">
        <f t="shared" ref="BW52:BW60" si="101">SUM(AS52:BD52)</f>
        <v>617782.78799999994</v>
      </c>
      <c r="BX52" s="144">
        <f t="shared" ref="BX52:BX60" si="102">SUM(BE52:BP52)</f>
        <v>648671.92740000028</v>
      </c>
      <c r="BY52" s="54">
        <f t="shared" ref="BY52:BY60" si="103">BQ52</f>
        <v>2988830.4754000027</v>
      </c>
    </row>
    <row r="53" spans="2:78" s="55" customFormat="1" ht="19.5" thickBot="1" x14ac:dyDescent="0.35">
      <c r="B53" s="256"/>
      <c r="C53" s="256"/>
      <c r="D53" s="245"/>
      <c r="E53" s="245" t="s">
        <v>183</v>
      </c>
      <c r="F53" s="257"/>
      <c r="G53" s="258">
        <v>40000</v>
      </c>
      <c r="H53" s="258">
        <v>40000</v>
      </c>
      <c r="I53" s="258">
        <v>40000</v>
      </c>
      <c r="J53" s="258">
        <v>40000</v>
      </c>
      <c r="K53" s="258">
        <v>40000</v>
      </c>
      <c r="L53" s="258">
        <v>40000</v>
      </c>
      <c r="M53" s="258">
        <v>40000</v>
      </c>
      <c r="N53" s="258">
        <v>40000</v>
      </c>
      <c r="O53" s="258">
        <v>40000</v>
      </c>
      <c r="P53" s="258">
        <v>40000</v>
      </c>
      <c r="Q53" s="258">
        <v>40000</v>
      </c>
      <c r="R53" s="258">
        <v>40000</v>
      </c>
      <c r="S53" s="214">
        <f t="shared" si="86"/>
        <v>480000</v>
      </c>
      <c r="T53" s="258">
        <f>R53*1.05</f>
        <v>42000</v>
      </c>
      <c r="U53" s="258">
        <f>T53</f>
        <v>42000</v>
      </c>
      <c r="V53" s="258">
        <f t="shared" ref="V53:AE53" si="104">U53</f>
        <v>42000</v>
      </c>
      <c r="W53" s="258">
        <f t="shared" si="104"/>
        <v>42000</v>
      </c>
      <c r="X53" s="258">
        <f t="shared" si="104"/>
        <v>42000</v>
      </c>
      <c r="Y53" s="258">
        <f t="shared" si="104"/>
        <v>42000</v>
      </c>
      <c r="Z53" s="258">
        <f t="shared" si="104"/>
        <v>42000</v>
      </c>
      <c r="AA53" s="258">
        <f t="shared" si="104"/>
        <v>42000</v>
      </c>
      <c r="AB53" s="258">
        <f t="shared" si="104"/>
        <v>42000</v>
      </c>
      <c r="AC53" s="258">
        <f t="shared" si="104"/>
        <v>42000</v>
      </c>
      <c r="AD53" s="258">
        <f t="shared" si="104"/>
        <v>42000</v>
      </c>
      <c r="AE53" s="258">
        <f t="shared" si="104"/>
        <v>42000</v>
      </c>
      <c r="AF53" s="99">
        <f t="shared" si="72"/>
        <v>504000</v>
      </c>
      <c r="AG53" s="258">
        <f>AE53*1.05</f>
        <v>44100</v>
      </c>
      <c r="AH53" s="258">
        <f>AG53</f>
        <v>44100</v>
      </c>
      <c r="AI53" s="258">
        <f t="shared" ref="AI53:AR53" si="105">AH53</f>
        <v>44100</v>
      </c>
      <c r="AJ53" s="258">
        <f t="shared" si="105"/>
        <v>44100</v>
      </c>
      <c r="AK53" s="258">
        <f t="shared" si="105"/>
        <v>44100</v>
      </c>
      <c r="AL53" s="258">
        <f t="shared" si="105"/>
        <v>44100</v>
      </c>
      <c r="AM53" s="258">
        <f t="shared" si="105"/>
        <v>44100</v>
      </c>
      <c r="AN53" s="258">
        <f t="shared" si="105"/>
        <v>44100</v>
      </c>
      <c r="AO53" s="258">
        <f t="shared" si="105"/>
        <v>44100</v>
      </c>
      <c r="AP53" s="258">
        <f t="shared" si="105"/>
        <v>44100</v>
      </c>
      <c r="AQ53" s="258">
        <f t="shared" si="105"/>
        <v>44100</v>
      </c>
      <c r="AR53" s="258">
        <f t="shared" si="105"/>
        <v>44100</v>
      </c>
      <c r="AS53" s="258">
        <f>AQ53*1.05</f>
        <v>46305</v>
      </c>
      <c r="AT53" s="258">
        <f>AS53</f>
        <v>46305</v>
      </c>
      <c r="AU53" s="258">
        <f t="shared" ref="AU53:BD53" si="106">AT53</f>
        <v>46305</v>
      </c>
      <c r="AV53" s="258">
        <f t="shared" si="106"/>
        <v>46305</v>
      </c>
      <c r="AW53" s="258">
        <f t="shared" si="106"/>
        <v>46305</v>
      </c>
      <c r="AX53" s="258">
        <f t="shared" si="106"/>
        <v>46305</v>
      </c>
      <c r="AY53" s="258">
        <f t="shared" si="106"/>
        <v>46305</v>
      </c>
      <c r="AZ53" s="258">
        <f t="shared" si="106"/>
        <v>46305</v>
      </c>
      <c r="BA53" s="258">
        <f t="shared" si="106"/>
        <v>46305</v>
      </c>
      <c r="BB53" s="258">
        <f t="shared" si="106"/>
        <v>46305</v>
      </c>
      <c r="BC53" s="258">
        <f t="shared" si="106"/>
        <v>46305</v>
      </c>
      <c r="BD53" s="258">
        <f t="shared" si="106"/>
        <v>46305</v>
      </c>
      <c r="BE53" s="258">
        <f>BC53*1.05</f>
        <v>48620.25</v>
      </c>
      <c r="BF53" s="258">
        <f>BE53</f>
        <v>48620.25</v>
      </c>
      <c r="BG53" s="258">
        <f t="shared" ref="BG53:BP53" si="107">BF53</f>
        <v>48620.25</v>
      </c>
      <c r="BH53" s="258">
        <f t="shared" si="107"/>
        <v>48620.25</v>
      </c>
      <c r="BI53" s="258">
        <f t="shared" si="107"/>
        <v>48620.25</v>
      </c>
      <c r="BJ53" s="258">
        <f t="shared" si="107"/>
        <v>48620.25</v>
      </c>
      <c r="BK53" s="258">
        <f t="shared" si="107"/>
        <v>48620.25</v>
      </c>
      <c r="BL53" s="258">
        <f t="shared" si="107"/>
        <v>48620.25</v>
      </c>
      <c r="BM53" s="258">
        <f t="shared" si="107"/>
        <v>48620.25</v>
      </c>
      <c r="BN53" s="258">
        <f t="shared" si="107"/>
        <v>48620.25</v>
      </c>
      <c r="BO53" s="258">
        <f t="shared" si="107"/>
        <v>48620.25</v>
      </c>
      <c r="BP53" s="258">
        <f t="shared" si="107"/>
        <v>48620.25</v>
      </c>
      <c r="BQ53" s="61">
        <f t="shared" si="97"/>
        <v>2652303</v>
      </c>
      <c r="BR53" s="143"/>
      <c r="BS53" s="143"/>
      <c r="BT53" s="144"/>
      <c r="BU53" s="144"/>
      <c r="BV53" s="144"/>
      <c r="BW53" s="144"/>
      <c r="BX53" s="144"/>
      <c r="BY53" s="54"/>
    </row>
    <row r="54" spans="2:78" s="93" customFormat="1" x14ac:dyDescent="0.3">
      <c r="C54" s="93" t="s">
        <v>188</v>
      </c>
      <c r="E54" s="101" t="s">
        <v>127</v>
      </c>
      <c r="F54" s="94"/>
      <c r="G54" s="222">
        <f>4360*8</f>
        <v>34880</v>
      </c>
      <c r="H54" s="186">
        <f t="shared" ref="H54:R54" si="108">4360*8</f>
        <v>34880</v>
      </c>
      <c r="I54" s="186">
        <f t="shared" si="108"/>
        <v>34880</v>
      </c>
      <c r="J54" s="186">
        <f t="shared" si="108"/>
        <v>34880</v>
      </c>
      <c r="K54" s="186">
        <f t="shared" si="108"/>
        <v>34880</v>
      </c>
      <c r="L54" s="186">
        <f t="shared" si="108"/>
        <v>34880</v>
      </c>
      <c r="M54" s="186">
        <f t="shared" si="108"/>
        <v>34880</v>
      </c>
      <c r="N54" s="186">
        <f t="shared" si="108"/>
        <v>34880</v>
      </c>
      <c r="O54" s="186">
        <f t="shared" si="108"/>
        <v>34880</v>
      </c>
      <c r="P54" s="186">
        <f t="shared" si="108"/>
        <v>34880</v>
      </c>
      <c r="Q54" s="186">
        <f t="shared" si="108"/>
        <v>34880</v>
      </c>
      <c r="R54" s="186">
        <f t="shared" si="108"/>
        <v>34880</v>
      </c>
      <c r="S54" s="223">
        <f t="shared" si="86"/>
        <v>418560</v>
      </c>
      <c r="T54" s="222">
        <f>R54*1.05</f>
        <v>36624</v>
      </c>
      <c r="U54" s="186">
        <f>T54</f>
        <v>36624</v>
      </c>
      <c r="V54" s="186">
        <f t="shared" ref="V54:AE54" si="109">U54</f>
        <v>36624</v>
      </c>
      <c r="W54" s="186">
        <f t="shared" si="109"/>
        <v>36624</v>
      </c>
      <c r="X54" s="186">
        <f t="shared" si="109"/>
        <v>36624</v>
      </c>
      <c r="Y54" s="186">
        <f t="shared" si="109"/>
        <v>36624</v>
      </c>
      <c r="Z54" s="186">
        <f t="shared" si="109"/>
        <v>36624</v>
      </c>
      <c r="AA54" s="186">
        <f t="shared" si="109"/>
        <v>36624</v>
      </c>
      <c r="AB54" s="186">
        <f t="shared" si="109"/>
        <v>36624</v>
      </c>
      <c r="AC54" s="186">
        <f t="shared" si="109"/>
        <v>36624</v>
      </c>
      <c r="AD54" s="186">
        <f t="shared" si="109"/>
        <v>36624</v>
      </c>
      <c r="AE54" s="186">
        <f t="shared" si="109"/>
        <v>36624</v>
      </c>
      <c r="AF54" s="240">
        <f t="shared" si="72"/>
        <v>439488</v>
      </c>
      <c r="AG54" s="95">
        <f>AE54*1.05</f>
        <v>38455.200000000004</v>
      </c>
      <c r="AH54" s="95">
        <f>AG54</f>
        <v>38455.200000000004</v>
      </c>
      <c r="AI54" s="95">
        <f t="shared" ref="AI54:AR54" si="110">AH54</f>
        <v>38455.200000000004</v>
      </c>
      <c r="AJ54" s="95">
        <f t="shared" si="110"/>
        <v>38455.200000000004</v>
      </c>
      <c r="AK54" s="95">
        <f t="shared" si="110"/>
        <v>38455.200000000004</v>
      </c>
      <c r="AL54" s="95">
        <f t="shared" si="110"/>
        <v>38455.200000000004</v>
      </c>
      <c r="AM54" s="95">
        <f t="shared" si="110"/>
        <v>38455.200000000004</v>
      </c>
      <c r="AN54" s="95">
        <f t="shared" si="110"/>
        <v>38455.200000000004</v>
      </c>
      <c r="AO54" s="95">
        <f t="shared" si="110"/>
        <v>38455.200000000004</v>
      </c>
      <c r="AP54" s="95">
        <f t="shared" si="110"/>
        <v>38455.200000000004</v>
      </c>
      <c r="AQ54" s="95">
        <f t="shared" si="110"/>
        <v>38455.200000000004</v>
      </c>
      <c r="AR54" s="95">
        <f t="shared" si="110"/>
        <v>38455.200000000004</v>
      </c>
      <c r="AS54" s="95">
        <f>AR54*1.05</f>
        <v>40377.960000000006</v>
      </c>
      <c r="AT54" s="95">
        <f>AS54</f>
        <v>40377.960000000006</v>
      </c>
      <c r="AU54" s="95">
        <f t="shared" ref="AU54:BD54" si="111">AT54</f>
        <v>40377.960000000006</v>
      </c>
      <c r="AV54" s="95">
        <f t="shared" si="111"/>
        <v>40377.960000000006</v>
      </c>
      <c r="AW54" s="95">
        <f t="shared" si="111"/>
        <v>40377.960000000006</v>
      </c>
      <c r="AX54" s="95">
        <f t="shared" si="111"/>
        <v>40377.960000000006</v>
      </c>
      <c r="AY54" s="95">
        <f t="shared" si="111"/>
        <v>40377.960000000006</v>
      </c>
      <c r="AZ54" s="95">
        <f t="shared" si="111"/>
        <v>40377.960000000006</v>
      </c>
      <c r="BA54" s="95">
        <f t="shared" si="111"/>
        <v>40377.960000000006</v>
      </c>
      <c r="BB54" s="95">
        <f t="shared" si="111"/>
        <v>40377.960000000006</v>
      </c>
      <c r="BC54" s="95">
        <f t="shared" si="111"/>
        <v>40377.960000000006</v>
      </c>
      <c r="BD54" s="95">
        <f t="shared" si="111"/>
        <v>40377.960000000006</v>
      </c>
      <c r="BE54" s="95">
        <f>BD54*1.05</f>
        <v>42396.858000000007</v>
      </c>
      <c r="BF54" s="95">
        <f>BE54</f>
        <v>42396.858000000007</v>
      </c>
      <c r="BG54" s="95">
        <f t="shared" ref="BG54:BP54" si="112">BF54</f>
        <v>42396.858000000007</v>
      </c>
      <c r="BH54" s="95">
        <f t="shared" si="112"/>
        <v>42396.858000000007</v>
      </c>
      <c r="BI54" s="95">
        <f t="shared" si="112"/>
        <v>42396.858000000007</v>
      </c>
      <c r="BJ54" s="95">
        <f t="shared" si="112"/>
        <v>42396.858000000007</v>
      </c>
      <c r="BK54" s="95">
        <f t="shared" si="112"/>
        <v>42396.858000000007</v>
      </c>
      <c r="BL54" s="95">
        <f t="shared" si="112"/>
        <v>42396.858000000007</v>
      </c>
      <c r="BM54" s="95">
        <f t="shared" si="112"/>
        <v>42396.858000000007</v>
      </c>
      <c r="BN54" s="95">
        <f t="shared" si="112"/>
        <v>42396.858000000007</v>
      </c>
      <c r="BO54" s="95">
        <f t="shared" si="112"/>
        <v>42396.858000000007</v>
      </c>
      <c r="BP54" s="95">
        <f t="shared" si="112"/>
        <v>42396.858000000007</v>
      </c>
      <c r="BQ54" s="61">
        <f t="shared" si="97"/>
        <v>2312808.2159999995</v>
      </c>
      <c r="BR54" s="146"/>
      <c r="BS54" s="146" t="s">
        <v>127</v>
      </c>
      <c r="BT54" s="147">
        <f t="shared" si="98"/>
        <v>418560</v>
      </c>
      <c r="BU54" s="147">
        <f t="shared" si="99"/>
        <v>439488</v>
      </c>
      <c r="BV54" s="147">
        <f t="shared" si="100"/>
        <v>461462.40000000008</v>
      </c>
      <c r="BW54" s="147">
        <f t="shared" si="101"/>
        <v>484535.52000000019</v>
      </c>
      <c r="BX54" s="147">
        <f t="shared" si="102"/>
        <v>508762.29600000009</v>
      </c>
      <c r="BY54" s="54">
        <f t="shared" si="103"/>
        <v>2312808.2159999995</v>
      </c>
    </row>
    <row r="55" spans="2:78" s="93" customFormat="1" x14ac:dyDescent="0.3">
      <c r="C55" s="93" t="s">
        <v>188</v>
      </c>
      <c r="D55" s="101"/>
      <c r="E55" s="101" t="s">
        <v>128</v>
      </c>
      <c r="F55" s="94"/>
      <c r="G55" s="226">
        <f>209*8</f>
        <v>1672</v>
      </c>
      <c r="H55" s="95">
        <f t="shared" ref="H55:R55" si="113">209*8</f>
        <v>1672</v>
      </c>
      <c r="I55" s="95">
        <f t="shared" si="113"/>
        <v>1672</v>
      </c>
      <c r="J55" s="95">
        <f t="shared" si="113"/>
        <v>1672</v>
      </c>
      <c r="K55" s="95">
        <f t="shared" si="113"/>
        <v>1672</v>
      </c>
      <c r="L55" s="95">
        <f t="shared" si="113"/>
        <v>1672</v>
      </c>
      <c r="M55" s="95">
        <f t="shared" si="113"/>
        <v>1672</v>
      </c>
      <c r="N55" s="95">
        <f t="shared" si="113"/>
        <v>1672</v>
      </c>
      <c r="O55" s="95">
        <f t="shared" si="113"/>
        <v>1672</v>
      </c>
      <c r="P55" s="95">
        <f t="shared" si="113"/>
        <v>1672</v>
      </c>
      <c r="Q55" s="95">
        <f t="shared" si="113"/>
        <v>1672</v>
      </c>
      <c r="R55" s="95">
        <f t="shared" si="113"/>
        <v>1672</v>
      </c>
      <c r="S55" s="227">
        <f t="shared" si="86"/>
        <v>20064</v>
      </c>
      <c r="T55" s="226">
        <f>R55*1.05</f>
        <v>1755.6000000000001</v>
      </c>
      <c r="U55" s="95">
        <f>T55</f>
        <v>1755.6000000000001</v>
      </c>
      <c r="V55" s="95">
        <f t="shared" ref="V55:AE55" si="114">U55</f>
        <v>1755.6000000000001</v>
      </c>
      <c r="W55" s="95">
        <f t="shared" si="114"/>
        <v>1755.6000000000001</v>
      </c>
      <c r="X55" s="95">
        <f t="shared" si="114"/>
        <v>1755.6000000000001</v>
      </c>
      <c r="Y55" s="95">
        <f t="shared" si="114"/>
        <v>1755.6000000000001</v>
      </c>
      <c r="Z55" s="95">
        <f t="shared" si="114"/>
        <v>1755.6000000000001</v>
      </c>
      <c r="AA55" s="95">
        <f t="shared" si="114"/>
        <v>1755.6000000000001</v>
      </c>
      <c r="AB55" s="95">
        <f t="shared" si="114"/>
        <v>1755.6000000000001</v>
      </c>
      <c r="AC55" s="95">
        <f t="shared" si="114"/>
        <v>1755.6000000000001</v>
      </c>
      <c r="AD55" s="95">
        <f t="shared" si="114"/>
        <v>1755.6000000000001</v>
      </c>
      <c r="AE55" s="95">
        <f t="shared" si="114"/>
        <v>1755.6000000000001</v>
      </c>
      <c r="AF55" s="241">
        <f t="shared" si="72"/>
        <v>21067.199999999997</v>
      </c>
      <c r="AG55" s="95">
        <f>AE55*1.05</f>
        <v>1843.38</v>
      </c>
      <c r="AH55" s="95">
        <f>AG55</f>
        <v>1843.38</v>
      </c>
      <c r="AI55" s="95">
        <f t="shared" ref="AI55:AR57" si="115">AH55</f>
        <v>1843.38</v>
      </c>
      <c r="AJ55" s="95">
        <f t="shared" si="115"/>
        <v>1843.38</v>
      </c>
      <c r="AK55" s="95">
        <f t="shared" si="115"/>
        <v>1843.38</v>
      </c>
      <c r="AL55" s="95">
        <f t="shared" si="115"/>
        <v>1843.38</v>
      </c>
      <c r="AM55" s="95">
        <f t="shared" si="115"/>
        <v>1843.38</v>
      </c>
      <c r="AN55" s="95">
        <f t="shared" si="115"/>
        <v>1843.38</v>
      </c>
      <c r="AO55" s="95">
        <f t="shared" si="115"/>
        <v>1843.38</v>
      </c>
      <c r="AP55" s="95">
        <f t="shared" si="115"/>
        <v>1843.38</v>
      </c>
      <c r="AQ55" s="95">
        <f t="shared" si="115"/>
        <v>1843.38</v>
      </c>
      <c r="AR55" s="95">
        <f t="shared" si="115"/>
        <v>1843.38</v>
      </c>
      <c r="AS55" s="95">
        <f>AR55*1.05</f>
        <v>1935.5490000000002</v>
      </c>
      <c r="AT55" s="95">
        <f>AS55</f>
        <v>1935.5490000000002</v>
      </c>
      <c r="AU55" s="95">
        <f t="shared" ref="AU55:BD56" si="116">AT55</f>
        <v>1935.5490000000002</v>
      </c>
      <c r="AV55" s="95">
        <f t="shared" si="116"/>
        <v>1935.5490000000002</v>
      </c>
      <c r="AW55" s="95">
        <f t="shared" si="116"/>
        <v>1935.5490000000002</v>
      </c>
      <c r="AX55" s="95">
        <f t="shared" si="116"/>
        <v>1935.5490000000002</v>
      </c>
      <c r="AY55" s="95">
        <f t="shared" si="116"/>
        <v>1935.5490000000002</v>
      </c>
      <c r="AZ55" s="95">
        <f t="shared" si="116"/>
        <v>1935.5490000000002</v>
      </c>
      <c r="BA55" s="95">
        <f t="shared" si="116"/>
        <v>1935.5490000000002</v>
      </c>
      <c r="BB55" s="95">
        <f t="shared" si="116"/>
        <v>1935.5490000000002</v>
      </c>
      <c r="BC55" s="95">
        <f t="shared" si="116"/>
        <v>1935.5490000000002</v>
      </c>
      <c r="BD55" s="95">
        <f t="shared" si="116"/>
        <v>1935.5490000000002</v>
      </c>
      <c r="BE55" s="95">
        <f>BD55*1.05</f>
        <v>2032.3264500000002</v>
      </c>
      <c r="BF55" s="95">
        <f>BE55</f>
        <v>2032.3264500000002</v>
      </c>
      <c r="BG55" s="95">
        <f t="shared" ref="BG55:BP56" si="117">BF55</f>
        <v>2032.3264500000002</v>
      </c>
      <c r="BH55" s="95">
        <f t="shared" si="117"/>
        <v>2032.3264500000002</v>
      </c>
      <c r="BI55" s="95">
        <f t="shared" si="117"/>
        <v>2032.3264500000002</v>
      </c>
      <c r="BJ55" s="95">
        <f t="shared" si="117"/>
        <v>2032.3264500000002</v>
      </c>
      <c r="BK55" s="95">
        <f t="shared" si="117"/>
        <v>2032.3264500000002</v>
      </c>
      <c r="BL55" s="95">
        <f t="shared" si="117"/>
        <v>2032.3264500000002</v>
      </c>
      <c r="BM55" s="95">
        <f t="shared" si="117"/>
        <v>2032.3264500000002</v>
      </c>
      <c r="BN55" s="95">
        <f t="shared" si="117"/>
        <v>2032.3264500000002</v>
      </c>
      <c r="BO55" s="95">
        <f t="shared" si="117"/>
        <v>2032.3264500000002</v>
      </c>
      <c r="BP55" s="95">
        <f t="shared" si="117"/>
        <v>2032.3264500000002</v>
      </c>
      <c r="BQ55" s="61">
        <f t="shared" si="97"/>
        <v>110866.26539999996</v>
      </c>
      <c r="BR55" s="146"/>
      <c r="BS55" s="146" t="s">
        <v>128</v>
      </c>
      <c r="BT55" s="147">
        <f t="shared" si="98"/>
        <v>20064</v>
      </c>
      <c r="BU55" s="147">
        <f t="shared" si="99"/>
        <v>21067.199999999997</v>
      </c>
      <c r="BV55" s="147">
        <f t="shared" si="100"/>
        <v>22120.560000000009</v>
      </c>
      <c r="BW55" s="147">
        <f t="shared" si="101"/>
        <v>23226.588</v>
      </c>
      <c r="BX55" s="147">
        <f t="shared" si="102"/>
        <v>24387.917400000002</v>
      </c>
      <c r="BY55" s="54">
        <f t="shared" si="103"/>
        <v>110866.26539999996</v>
      </c>
    </row>
    <row r="56" spans="2:78" s="93" customFormat="1" ht="19.5" thickBot="1" x14ac:dyDescent="0.35">
      <c r="C56" s="93" t="s">
        <v>188</v>
      </c>
      <c r="D56" s="101"/>
      <c r="E56" s="101" t="s">
        <v>129</v>
      </c>
      <c r="F56" s="94"/>
      <c r="G56" s="224">
        <f>990*8</f>
        <v>7920</v>
      </c>
      <c r="H56" s="190">
        <f t="shared" ref="H56:R56" si="118">990*8</f>
        <v>7920</v>
      </c>
      <c r="I56" s="190">
        <f t="shared" si="118"/>
        <v>7920</v>
      </c>
      <c r="J56" s="190">
        <f t="shared" si="118"/>
        <v>7920</v>
      </c>
      <c r="K56" s="190">
        <f t="shared" si="118"/>
        <v>7920</v>
      </c>
      <c r="L56" s="190">
        <f t="shared" si="118"/>
        <v>7920</v>
      </c>
      <c r="M56" s="190">
        <f t="shared" si="118"/>
        <v>7920</v>
      </c>
      <c r="N56" s="190">
        <f t="shared" si="118"/>
        <v>7920</v>
      </c>
      <c r="O56" s="190">
        <f t="shared" si="118"/>
        <v>7920</v>
      </c>
      <c r="P56" s="190">
        <f t="shared" si="118"/>
        <v>7920</v>
      </c>
      <c r="Q56" s="190">
        <f t="shared" si="118"/>
        <v>7920</v>
      </c>
      <c r="R56" s="190">
        <f t="shared" si="118"/>
        <v>7920</v>
      </c>
      <c r="S56" s="225">
        <f t="shared" si="86"/>
        <v>95040</v>
      </c>
      <c r="T56" s="224">
        <f>R56*1.05</f>
        <v>8316</v>
      </c>
      <c r="U56" s="190">
        <f>T56</f>
        <v>8316</v>
      </c>
      <c r="V56" s="190">
        <f t="shared" ref="V56:AE57" si="119">U56</f>
        <v>8316</v>
      </c>
      <c r="W56" s="190">
        <f t="shared" si="119"/>
        <v>8316</v>
      </c>
      <c r="X56" s="190">
        <f t="shared" si="119"/>
        <v>8316</v>
      </c>
      <c r="Y56" s="190">
        <f t="shared" si="119"/>
        <v>8316</v>
      </c>
      <c r="Z56" s="190">
        <f t="shared" si="119"/>
        <v>8316</v>
      </c>
      <c r="AA56" s="190">
        <f t="shared" si="119"/>
        <v>8316</v>
      </c>
      <c r="AB56" s="190">
        <f t="shared" si="119"/>
        <v>8316</v>
      </c>
      <c r="AC56" s="190">
        <f t="shared" si="119"/>
        <v>8316</v>
      </c>
      <c r="AD56" s="190">
        <f t="shared" si="119"/>
        <v>8316</v>
      </c>
      <c r="AE56" s="190">
        <f t="shared" si="119"/>
        <v>8316</v>
      </c>
      <c r="AF56" s="242">
        <f t="shared" si="72"/>
        <v>99792</v>
      </c>
      <c r="AG56" s="95">
        <f>AE56*1.05</f>
        <v>8731.8000000000011</v>
      </c>
      <c r="AH56" s="95">
        <f>AG56</f>
        <v>8731.8000000000011</v>
      </c>
      <c r="AI56" s="95">
        <f t="shared" si="115"/>
        <v>8731.8000000000011</v>
      </c>
      <c r="AJ56" s="95">
        <f t="shared" si="115"/>
        <v>8731.8000000000011</v>
      </c>
      <c r="AK56" s="95">
        <f t="shared" si="115"/>
        <v>8731.8000000000011</v>
      </c>
      <c r="AL56" s="95">
        <f t="shared" si="115"/>
        <v>8731.8000000000011</v>
      </c>
      <c r="AM56" s="95">
        <f t="shared" si="115"/>
        <v>8731.8000000000011</v>
      </c>
      <c r="AN56" s="95">
        <f t="shared" si="115"/>
        <v>8731.8000000000011</v>
      </c>
      <c r="AO56" s="95">
        <f t="shared" si="115"/>
        <v>8731.8000000000011</v>
      </c>
      <c r="AP56" s="95">
        <f t="shared" si="115"/>
        <v>8731.8000000000011</v>
      </c>
      <c r="AQ56" s="95">
        <f t="shared" si="115"/>
        <v>8731.8000000000011</v>
      </c>
      <c r="AR56" s="95">
        <f t="shared" si="115"/>
        <v>8731.8000000000011</v>
      </c>
      <c r="AS56" s="95">
        <f>AR56*1.05</f>
        <v>9168.3900000000012</v>
      </c>
      <c r="AT56" s="95">
        <f>AS56</f>
        <v>9168.3900000000012</v>
      </c>
      <c r="AU56" s="95">
        <f t="shared" si="116"/>
        <v>9168.3900000000012</v>
      </c>
      <c r="AV56" s="95">
        <f t="shared" si="116"/>
        <v>9168.3900000000012</v>
      </c>
      <c r="AW56" s="95">
        <f t="shared" si="116"/>
        <v>9168.3900000000012</v>
      </c>
      <c r="AX56" s="95">
        <f t="shared" si="116"/>
        <v>9168.3900000000012</v>
      </c>
      <c r="AY56" s="95">
        <f t="shared" si="116"/>
        <v>9168.3900000000012</v>
      </c>
      <c r="AZ56" s="95">
        <f t="shared" si="116"/>
        <v>9168.3900000000012</v>
      </c>
      <c r="BA56" s="95">
        <f t="shared" si="116"/>
        <v>9168.3900000000012</v>
      </c>
      <c r="BB56" s="95">
        <f t="shared" si="116"/>
        <v>9168.3900000000012</v>
      </c>
      <c r="BC56" s="95">
        <f t="shared" si="116"/>
        <v>9168.3900000000012</v>
      </c>
      <c r="BD56" s="95">
        <f t="shared" si="116"/>
        <v>9168.3900000000012</v>
      </c>
      <c r="BE56" s="95">
        <f>BD56*1.05</f>
        <v>9626.8095000000012</v>
      </c>
      <c r="BF56" s="95">
        <f>BE56</f>
        <v>9626.8095000000012</v>
      </c>
      <c r="BG56" s="95">
        <f t="shared" si="117"/>
        <v>9626.8095000000012</v>
      </c>
      <c r="BH56" s="95">
        <f t="shared" si="117"/>
        <v>9626.8095000000012</v>
      </c>
      <c r="BI56" s="95">
        <f t="shared" si="117"/>
        <v>9626.8095000000012</v>
      </c>
      <c r="BJ56" s="95">
        <f t="shared" si="117"/>
        <v>9626.8095000000012</v>
      </c>
      <c r="BK56" s="95">
        <f t="shared" si="117"/>
        <v>9626.8095000000012</v>
      </c>
      <c r="BL56" s="95">
        <f t="shared" si="117"/>
        <v>9626.8095000000012</v>
      </c>
      <c r="BM56" s="95">
        <f t="shared" si="117"/>
        <v>9626.8095000000012</v>
      </c>
      <c r="BN56" s="95">
        <f t="shared" si="117"/>
        <v>9626.8095000000012</v>
      </c>
      <c r="BO56" s="95">
        <f t="shared" si="117"/>
        <v>9626.8095000000012</v>
      </c>
      <c r="BP56" s="95">
        <f t="shared" si="117"/>
        <v>9626.8095000000012</v>
      </c>
      <c r="BQ56" s="61">
        <f t="shared" si="97"/>
        <v>525155.99399999972</v>
      </c>
      <c r="BR56" s="146"/>
      <c r="BS56" s="146" t="s">
        <v>129</v>
      </c>
      <c r="BT56" s="147">
        <f t="shared" si="98"/>
        <v>95040</v>
      </c>
      <c r="BU56" s="147">
        <f t="shared" si="99"/>
        <v>99792</v>
      </c>
      <c r="BV56" s="147">
        <f t="shared" si="100"/>
        <v>104781.60000000002</v>
      </c>
      <c r="BW56" s="147">
        <f t="shared" si="101"/>
        <v>110020.68000000001</v>
      </c>
      <c r="BX56" s="147">
        <f t="shared" si="102"/>
        <v>115521.71400000002</v>
      </c>
      <c r="BY56" s="54">
        <f t="shared" si="103"/>
        <v>525155.99399999972</v>
      </c>
    </row>
    <row r="57" spans="2:78" s="244" customFormat="1" x14ac:dyDescent="0.3">
      <c r="D57" s="246" t="s">
        <v>184</v>
      </c>
      <c r="E57" s="246"/>
      <c r="F57" s="262"/>
      <c r="G57" s="259">
        <v>60000</v>
      </c>
      <c r="H57" s="259">
        <v>60000</v>
      </c>
      <c r="I57" s="259">
        <v>60000</v>
      </c>
      <c r="J57" s="259">
        <v>60000</v>
      </c>
      <c r="K57" s="259">
        <v>60000</v>
      </c>
      <c r="L57" s="259">
        <v>60000</v>
      </c>
      <c r="M57" s="259">
        <v>60000</v>
      </c>
      <c r="N57" s="259">
        <v>60000</v>
      </c>
      <c r="O57" s="259">
        <v>60000</v>
      </c>
      <c r="P57" s="259">
        <v>60000</v>
      </c>
      <c r="Q57" s="259">
        <v>60000</v>
      </c>
      <c r="R57" s="259">
        <v>60000</v>
      </c>
      <c r="S57" s="259">
        <f>SUM(G57:R57)</f>
        <v>720000</v>
      </c>
      <c r="T57" s="259">
        <f>R57*1.05</f>
        <v>63000</v>
      </c>
      <c r="U57" s="259">
        <f>T57</f>
        <v>63000</v>
      </c>
      <c r="V57" s="259">
        <f t="shared" si="119"/>
        <v>63000</v>
      </c>
      <c r="W57" s="259">
        <f t="shared" si="119"/>
        <v>63000</v>
      </c>
      <c r="X57" s="259">
        <f t="shared" si="119"/>
        <v>63000</v>
      </c>
      <c r="Y57" s="259">
        <f t="shared" si="119"/>
        <v>63000</v>
      </c>
      <c r="Z57" s="259">
        <f t="shared" si="119"/>
        <v>63000</v>
      </c>
      <c r="AA57" s="259">
        <f t="shared" si="119"/>
        <v>63000</v>
      </c>
      <c r="AB57" s="259">
        <f t="shared" si="119"/>
        <v>63000</v>
      </c>
      <c r="AC57" s="259">
        <f t="shared" si="119"/>
        <v>63000</v>
      </c>
      <c r="AD57" s="259">
        <f t="shared" si="119"/>
        <v>63000</v>
      </c>
      <c r="AE57" s="259">
        <f t="shared" si="119"/>
        <v>63000</v>
      </c>
      <c r="AF57" s="248">
        <f t="shared" si="72"/>
        <v>756000</v>
      </c>
      <c r="AG57" s="259">
        <f>AE57*1.05</f>
        <v>66150</v>
      </c>
      <c r="AH57" s="259">
        <f>AG57</f>
        <v>66150</v>
      </c>
      <c r="AI57" s="259">
        <f t="shared" si="115"/>
        <v>66150</v>
      </c>
      <c r="AJ57" s="259">
        <f t="shared" si="115"/>
        <v>66150</v>
      </c>
      <c r="AK57" s="259">
        <f t="shared" si="115"/>
        <v>66150</v>
      </c>
      <c r="AL57" s="259">
        <f t="shared" si="115"/>
        <v>66150</v>
      </c>
      <c r="AM57" s="259">
        <f t="shared" si="115"/>
        <v>66150</v>
      </c>
      <c r="AN57" s="259">
        <f t="shared" si="115"/>
        <v>66150</v>
      </c>
      <c r="AO57" s="259">
        <f t="shared" si="115"/>
        <v>66150</v>
      </c>
      <c r="AP57" s="259">
        <f t="shared" si="115"/>
        <v>66150</v>
      </c>
      <c r="AQ57" s="259">
        <f t="shared" si="115"/>
        <v>66150</v>
      </c>
      <c r="AR57" s="259">
        <f t="shared" si="115"/>
        <v>66150</v>
      </c>
      <c r="AS57" s="259"/>
      <c r="AT57" s="259"/>
      <c r="AU57" s="259"/>
      <c r="AV57" s="259"/>
      <c r="AW57" s="259"/>
      <c r="AX57" s="259"/>
      <c r="AY57" s="259"/>
      <c r="AZ57" s="259"/>
      <c r="BA57" s="259"/>
      <c r="BB57" s="259"/>
      <c r="BC57" s="259"/>
      <c r="BD57" s="259"/>
      <c r="BE57" s="259">
        <v>60000</v>
      </c>
      <c r="BF57" s="259">
        <v>60000</v>
      </c>
      <c r="BG57" s="259">
        <v>60000</v>
      </c>
      <c r="BH57" s="259">
        <v>60000</v>
      </c>
      <c r="BI57" s="259">
        <v>60000</v>
      </c>
      <c r="BJ57" s="259">
        <v>60000</v>
      </c>
      <c r="BK57" s="259">
        <v>60000</v>
      </c>
      <c r="BL57" s="259">
        <v>60000</v>
      </c>
      <c r="BM57" s="259">
        <v>60000</v>
      </c>
      <c r="BN57" s="259">
        <v>60000</v>
      </c>
      <c r="BO57" s="259">
        <v>60000</v>
      </c>
      <c r="BP57" s="259">
        <v>60000</v>
      </c>
      <c r="BQ57" s="249">
        <f t="shared" si="97"/>
        <v>2989800</v>
      </c>
      <c r="BR57" s="251"/>
      <c r="BS57" s="251"/>
      <c r="BT57" s="252"/>
      <c r="BU57" s="252">
        <f t="shared" si="99"/>
        <v>756000</v>
      </c>
      <c r="BV57" s="252">
        <f t="shared" si="100"/>
        <v>793800</v>
      </c>
      <c r="BW57" s="252"/>
      <c r="BX57" s="252"/>
      <c r="BY57" s="263"/>
    </row>
    <row r="58" spans="2:78" s="55" customFormat="1" ht="19.5" thickBot="1" x14ac:dyDescent="0.35">
      <c r="C58" s="55" t="s">
        <v>188</v>
      </c>
      <c r="D58" s="56" t="s">
        <v>132</v>
      </c>
      <c r="E58" s="56"/>
      <c r="F58" s="59"/>
      <c r="G58" s="100">
        <f>G59+G60</f>
        <v>47500</v>
      </c>
      <c r="H58" s="100">
        <f t="shared" ref="H58:BP58" si="120">H59+H60</f>
        <v>47500</v>
      </c>
      <c r="I58" s="100">
        <f t="shared" si="120"/>
        <v>47500</v>
      </c>
      <c r="J58" s="100">
        <f t="shared" si="120"/>
        <v>47500</v>
      </c>
      <c r="K58" s="100">
        <f t="shared" si="120"/>
        <v>47500</v>
      </c>
      <c r="L58" s="100">
        <f t="shared" si="120"/>
        <v>47500</v>
      </c>
      <c r="M58" s="100">
        <f t="shared" si="120"/>
        <v>47500</v>
      </c>
      <c r="N58" s="100">
        <f t="shared" si="120"/>
        <v>47500</v>
      </c>
      <c r="O58" s="100">
        <f t="shared" si="120"/>
        <v>47500</v>
      </c>
      <c r="P58" s="100">
        <f t="shared" si="120"/>
        <v>47500</v>
      </c>
      <c r="Q58" s="100">
        <f t="shared" si="120"/>
        <v>47500</v>
      </c>
      <c r="R58" s="100">
        <f t="shared" si="120"/>
        <v>47500</v>
      </c>
      <c r="S58" s="218">
        <f t="shared" si="120"/>
        <v>570000</v>
      </c>
      <c r="T58" s="100">
        <f t="shared" si="120"/>
        <v>50825</v>
      </c>
      <c r="U58" s="100">
        <f t="shared" si="120"/>
        <v>50825</v>
      </c>
      <c r="V58" s="100">
        <f t="shared" si="120"/>
        <v>50825</v>
      </c>
      <c r="W58" s="100">
        <f t="shared" si="120"/>
        <v>50825</v>
      </c>
      <c r="X58" s="100">
        <f t="shared" si="120"/>
        <v>50825</v>
      </c>
      <c r="Y58" s="100">
        <f t="shared" si="120"/>
        <v>50825</v>
      </c>
      <c r="Z58" s="100">
        <f t="shared" si="120"/>
        <v>50825</v>
      </c>
      <c r="AA58" s="100">
        <f t="shared" si="120"/>
        <v>50825</v>
      </c>
      <c r="AB58" s="100">
        <f t="shared" si="120"/>
        <v>50825</v>
      </c>
      <c r="AC58" s="100">
        <f t="shared" si="120"/>
        <v>50825</v>
      </c>
      <c r="AD58" s="100">
        <f t="shared" si="120"/>
        <v>50825</v>
      </c>
      <c r="AE58" s="100">
        <f t="shared" si="120"/>
        <v>50825</v>
      </c>
      <c r="AF58" s="99">
        <f t="shared" si="72"/>
        <v>609900</v>
      </c>
      <c r="AG58" s="100">
        <f t="shared" si="120"/>
        <v>54382.750000000007</v>
      </c>
      <c r="AH58" s="100">
        <f t="shared" si="120"/>
        <v>54382.750000000007</v>
      </c>
      <c r="AI58" s="100">
        <f t="shared" si="120"/>
        <v>54382.750000000007</v>
      </c>
      <c r="AJ58" s="100">
        <f t="shared" si="120"/>
        <v>54382.750000000007</v>
      </c>
      <c r="AK58" s="100">
        <f t="shared" si="120"/>
        <v>54382.750000000007</v>
      </c>
      <c r="AL58" s="100">
        <f t="shared" si="120"/>
        <v>54382.750000000007</v>
      </c>
      <c r="AM58" s="100">
        <f t="shared" si="120"/>
        <v>54382.750000000007</v>
      </c>
      <c r="AN58" s="100">
        <f t="shared" si="120"/>
        <v>54382.750000000007</v>
      </c>
      <c r="AO58" s="100">
        <f t="shared" si="120"/>
        <v>54382.750000000007</v>
      </c>
      <c r="AP58" s="100">
        <f t="shared" si="120"/>
        <v>54382.750000000007</v>
      </c>
      <c r="AQ58" s="100">
        <f t="shared" si="120"/>
        <v>54382.750000000007</v>
      </c>
      <c r="AR58" s="100">
        <f t="shared" si="120"/>
        <v>54382.750000000007</v>
      </c>
      <c r="AS58" s="100">
        <f t="shared" si="120"/>
        <v>58189.54250000001</v>
      </c>
      <c r="AT58" s="100">
        <f t="shared" si="120"/>
        <v>58189.54250000001</v>
      </c>
      <c r="AU58" s="100">
        <f t="shared" si="120"/>
        <v>58189.54250000001</v>
      </c>
      <c r="AV58" s="100">
        <f t="shared" si="120"/>
        <v>58189.54250000001</v>
      </c>
      <c r="AW58" s="100">
        <f t="shared" si="120"/>
        <v>58189.54250000001</v>
      </c>
      <c r="AX58" s="100">
        <f t="shared" si="120"/>
        <v>58189.54250000001</v>
      </c>
      <c r="AY58" s="100">
        <f t="shared" si="120"/>
        <v>58189.54250000001</v>
      </c>
      <c r="AZ58" s="100">
        <f t="shared" si="120"/>
        <v>58189.54250000001</v>
      </c>
      <c r="BA58" s="100">
        <f t="shared" si="120"/>
        <v>58189.54250000001</v>
      </c>
      <c r="BB58" s="100">
        <f t="shared" si="120"/>
        <v>58189.54250000001</v>
      </c>
      <c r="BC58" s="100">
        <f t="shared" si="120"/>
        <v>58189.54250000001</v>
      </c>
      <c r="BD58" s="100">
        <f t="shared" si="120"/>
        <v>58189.54250000001</v>
      </c>
      <c r="BE58" s="100">
        <f t="shared" si="120"/>
        <v>62262.81047500002</v>
      </c>
      <c r="BF58" s="100">
        <f t="shared" si="120"/>
        <v>62262.81047500002</v>
      </c>
      <c r="BG58" s="100">
        <f t="shared" si="120"/>
        <v>62262.81047500002</v>
      </c>
      <c r="BH58" s="100">
        <f t="shared" si="120"/>
        <v>62262.81047500002</v>
      </c>
      <c r="BI58" s="100">
        <f t="shared" si="120"/>
        <v>62262.81047500002</v>
      </c>
      <c r="BJ58" s="100">
        <f t="shared" si="120"/>
        <v>62262.81047500002</v>
      </c>
      <c r="BK58" s="100">
        <f t="shared" si="120"/>
        <v>62262.81047500002</v>
      </c>
      <c r="BL58" s="100">
        <f t="shared" si="120"/>
        <v>62262.81047500002</v>
      </c>
      <c r="BM58" s="100">
        <f t="shared" si="120"/>
        <v>62262.81047500002</v>
      </c>
      <c r="BN58" s="100">
        <f t="shared" si="120"/>
        <v>62262.81047500002</v>
      </c>
      <c r="BO58" s="100">
        <f t="shared" si="120"/>
        <v>62262.81047500002</v>
      </c>
      <c r="BP58" s="100">
        <f t="shared" si="120"/>
        <v>62262.81047500002</v>
      </c>
      <c r="BQ58" s="61">
        <f t="shared" si="97"/>
        <v>3277921.2357000019</v>
      </c>
      <c r="BR58" s="143" t="s">
        <v>132</v>
      </c>
      <c r="BS58" s="143"/>
      <c r="BT58" s="144">
        <f t="shared" si="98"/>
        <v>570000</v>
      </c>
      <c r="BU58" s="144">
        <f t="shared" si="99"/>
        <v>609900</v>
      </c>
      <c r="BV58" s="144">
        <f t="shared" si="100"/>
        <v>652593.00000000012</v>
      </c>
      <c r="BW58" s="144">
        <f t="shared" si="101"/>
        <v>698274.50999999989</v>
      </c>
      <c r="BX58" s="144">
        <f t="shared" si="102"/>
        <v>747153.7257000003</v>
      </c>
      <c r="BY58" s="54">
        <f t="shared" si="103"/>
        <v>3277921.2357000019</v>
      </c>
    </row>
    <row r="59" spans="2:78" s="93" customFormat="1" x14ac:dyDescent="0.3">
      <c r="C59" s="93" t="s">
        <v>188</v>
      </c>
      <c r="D59" s="93" t="s">
        <v>176</v>
      </c>
      <c r="E59" s="101" t="s">
        <v>144</v>
      </c>
      <c r="F59" s="94"/>
      <c r="G59" s="222">
        <v>11000</v>
      </c>
      <c r="H59" s="186">
        <v>11000</v>
      </c>
      <c r="I59" s="186">
        <v>11000</v>
      </c>
      <c r="J59" s="186">
        <v>11000</v>
      </c>
      <c r="K59" s="186">
        <v>11000</v>
      </c>
      <c r="L59" s="186">
        <v>11000</v>
      </c>
      <c r="M59" s="186">
        <v>11000</v>
      </c>
      <c r="N59" s="186">
        <v>11000</v>
      </c>
      <c r="O59" s="186">
        <v>11000</v>
      </c>
      <c r="P59" s="186">
        <v>11000</v>
      </c>
      <c r="Q59" s="186">
        <v>11000</v>
      </c>
      <c r="R59" s="186">
        <v>11000</v>
      </c>
      <c r="S59" s="223">
        <f t="shared" ref="S59:S63" si="121">SUM(G59:R59)</f>
        <v>132000</v>
      </c>
      <c r="T59" s="222">
        <f>R59*1.07</f>
        <v>11770</v>
      </c>
      <c r="U59" s="186">
        <f>T59</f>
        <v>11770</v>
      </c>
      <c r="V59" s="186">
        <f t="shared" ref="V59:AE59" si="122">U59</f>
        <v>11770</v>
      </c>
      <c r="W59" s="186">
        <f t="shared" si="122"/>
        <v>11770</v>
      </c>
      <c r="X59" s="186">
        <f t="shared" si="122"/>
        <v>11770</v>
      </c>
      <c r="Y59" s="186">
        <f t="shared" si="122"/>
        <v>11770</v>
      </c>
      <c r="Z59" s="186">
        <f t="shared" si="122"/>
        <v>11770</v>
      </c>
      <c r="AA59" s="186">
        <f t="shared" si="122"/>
        <v>11770</v>
      </c>
      <c r="AB59" s="186">
        <f t="shared" si="122"/>
        <v>11770</v>
      </c>
      <c r="AC59" s="186">
        <f t="shared" si="122"/>
        <v>11770</v>
      </c>
      <c r="AD59" s="186">
        <f t="shared" si="122"/>
        <v>11770</v>
      </c>
      <c r="AE59" s="186">
        <f t="shared" si="122"/>
        <v>11770</v>
      </c>
      <c r="AF59" s="240">
        <f t="shared" si="72"/>
        <v>141240</v>
      </c>
      <c r="AG59" s="95">
        <f>AE59*1.07</f>
        <v>12593.900000000001</v>
      </c>
      <c r="AH59" s="95">
        <f>AG59</f>
        <v>12593.900000000001</v>
      </c>
      <c r="AI59" s="95">
        <f t="shared" ref="AI59:AR59" si="123">AH59</f>
        <v>12593.900000000001</v>
      </c>
      <c r="AJ59" s="95">
        <f t="shared" si="123"/>
        <v>12593.900000000001</v>
      </c>
      <c r="AK59" s="95">
        <f t="shared" si="123"/>
        <v>12593.900000000001</v>
      </c>
      <c r="AL59" s="95">
        <f t="shared" si="123"/>
        <v>12593.900000000001</v>
      </c>
      <c r="AM59" s="95">
        <f t="shared" si="123"/>
        <v>12593.900000000001</v>
      </c>
      <c r="AN59" s="95">
        <f t="shared" si="123"/>
        <v>12593.900000000001</v>
      </c>
      <c r="AO59" s="95">
        <f t="shared" si="123"/>
        <v>12593.900000000001</v>
      </c>
      <c r="AP59" s="95">
        <f t="shared" si="123"/>
        <v>12593.900000000001</v>
      </c>
      <c r="AQ59" s="95">
        <f t="shared" si="123"/>
        <v>12593.900000000001</v>
      </c>
      <c r="AR59" s="95">
        <f t="shared" si="123"/>
        <v>12593.900000000001</v>
      </c>
      <c r="AS59" s="95">
        <f>AR59*1.07</f>
        <v>13475.473000000002</v>
      </c>
      <c r="AT59" s="95">
        <f>AS59</f>
        <v>13475.473000000002</v>
      </c>
      <c r="AU59" s="95">
        <f t="shared" ref="AU59:BD59" si="124">AT59</f>
        <v>13475.473000000002</v>
      </c>
      <c r="AV59" s="95">
        <f t="shared" si="124"/>
        <v>13475.473000000002</v>
      </c>
      <c r="AW59" s="95">
        <f t="shared" si="124"/>
        <v>13475.473000000002</v>
      </c>
      <c r="AX59" s="95">
        <f t="shared" si="124"/>
        <v>13475.473000000002</v>
      </c>
      <c r="AY59" s="95">
        <f t="shared" si="124"/>
        <v>13475.473000000002</v>
      </c>
      <c r="AZ59" s="95">
        <f t="shared" si="124"/>
        <v>13475.473000000002</v>
      </c>
      <c r="BA59" s="95">
        <f t="shared" si="124"/>
        <v>13475.473000000002</v>
      </c>
      <c r="BB59" s="95">
        <f t="shared" si="124"/>
        <v>13475.473000000002</v>
      </c>
      <c r="BC59" s="95">
        <f t="shared" si="124"/>
        <v>13475.473000000002</v>
      </c>
      <c r="BD59" s="95">
        <f t="shared" si="124"/>
        <v>13475.473000000002</v>
      </c>
      <c r="BE59" s="95">
        <f>BD59*1.07</f>
        <v>14418.756110000002</v>
      </c>
      <c r="BF59" s="95">
        <f>BE59</f>
        <v>14418.756110000002</v>
      </c>
      <c r="BG59" s="95">
        <f t="shared" ref="BG59:BP59" si="125">BF59</f>
        <v>14418.756110000002</v>
      </c>
      <c r="BH59" s="95">
        <f t="shared" si="125"/>
        <v>14418.756110000002</v>
      </c>
      <c r="BI59" s="95">
        <f t="shared" si="125"/>
        <v>14418.756110000002</v>
      </c>
      <c r="BJ59" s="95">
        <f t="shared" si="125"/>
        <v>14418.756110000002</v>
      </c>
      <c r="BK59" s="95">
        <f t="shared" si="125"/>
        <v>14418.756110000002</v>
      </c>
      <c r="BL59" s="95">
        <f t="shared" si="125"/>
        <v>14418.756110000002</v>
      </c>
      <c r="BM59" s="95">
        <f t="shared" si="125"/>
        <v>14418.756110000002</v>
      </c>
      <c r="BN59" s="95">
        <f t="shared" si="125"/>
        <v>14418.756110000002</v>
      </c>
      <c r="BO59" s="95">
        <f t="shared" si="125"/>
        <v>14418.756110000002</v>
      </c>
      <c r="BP59" s="95">
        <f t="shared" si="125"/>
        <v>14418.756110000002</v>
      </c>
      <c r="BQ59" s="61">
        <f t="shared" si="97"/>
        <v>759097.54931999976</v>
      </c>
      <c r="BR59" s="146" t="s">
        <v>134</v>
      </c>
      <c r="BS59" s="146" t="s">
        <v>144</v>
      </c>
      <c r="BT59" s="147">
        <f t="shared" si="98"/>
        <v>132000</v>
      </c>
      <c r="BU59" s="147">
        <f t="shared" si="99"/>
        <v>141240</v>
      </c>
      <c r="BV59" s="147">
        <f t="shared" si="100"/>
        <v>151126.79999999999</v>
      </c>
      <c r="BW59" s="147">
        <f t="shared" si="101"/>
        <v>161705.67600000001</v>
      </c>
      <c r="BX59" s="147">
        <f t="shared" si="102"/>
        <v>173025.07332000002</v>
      </c>
      <c r="BY59" s="54">
        <f t="shared" si="103"/>
        <v>759097.54931999976</v>
      </c>
    </row>
    <row r="60" spans="2:78" s="93" customFormat="1" ht="19.5" thickBot="1" x14ac:dyDescent="0.35">
      <c r="C60" s="93" t="s">
        <v>188</v>
      </c>
      <c r="D60" s="101" t="s">
        <v>177</v>
      </c>
      <c r="E60" s="101" t="s">
        <v>133</v>
      </c>
      <c r="F60" s="94"/>
      <c r="G60" s="224">
        <v>36500</v>
      </c>
      <c r="H60" s="190">
        <v>36500</v>
      </c>
      <c r="I60" s="190">
        <v>36500</v>
      </c>
      <c r="J60" s="190">
        <v>36500</v>
      </c>
      <c r="K60" s="190">
        <v>36500</v>
      </c>
      <c r="L60" s="190">
        <v>36500</v>
      </c>
      <c r="M60" s="190">
        <v>36500</v>
      </c>
      <c r="N60" s="190">
        <v>36500</v>
      </c>
      <c r="O60" s="190">
        <v>36500</v>
      </c>
      <c r="P60" s="190">
        <v>36500</v>
      </c>
      <c r="Q60" s="190">
        <v>36500</v>
      </c>
      <c r="R60" s="190">
        <v>36500</v>
      </c>
      <c r="S60" s="225">
        <f t="shared" si="121"/>
        <v>438000</v>
      </c>
      <c r="T60" s="224">
        <f>R60*1.07</f>
        <v>39055</v>
      </c>
      <c r="U60" s="190">
        <f>T60</f>
        <v>39055</v>
      </c>
      <c r="V60" s="190">
        <f t="shared" ref="V60:AE60" si="126">U60</f>
        <v>39055</v>
      </c>
      <c r="W60" s="190">
        <f t="shared" si="126"/>
        <v>39055</v>
      </c>
      <c r="X60" s="190">
        <f t="shared" si="126"/>
        <v>39055</v>
      </c>
      <c r="Y60" s="190">
        <f t="shared" si="126"/>
        <v>39055</v>
      </c>
      <c r="Z60" s="190">
        <f t="shared" si="126"/>
        <v>39055</v>
      </c>
      <c r="AA60" s="190">
        <f t="shared" si="126"/>
        <v>39055</v>
      </c>
      <c r="AB60" s="190">
        <f t="shared" si="126"/>
        <v>39055</v>
      </c>
      <c r="AC60" s="190">
        <f t="shared" si="126"/>
        <v>39055</v>
      </c>
      <c r="AD60" s="190">
        <f t="shared" si="126"/>
        <v>39055</v>
      </c>
      <c r="AE60" s="190">
        <f t="shared" si="126"/>
        <v>39055</v>
      </c>
      <c r="AF60" s="242">
        <f t="shared" si="72"/>
        <v>468660</v>
      </c>
      <c r="AG60" s="95">
        <f>AE60*1.07</f>
        <v>41788.850000000006</v>
      </c>
      <c r="AH60" s="95">
        <f>AG60</f>
        <v>41788.850000000006</v>
      </c>
      <c r="AI60" s="95">
        <f t="shared" ref="AI60:AR60" si="127">AH60</f>
        <v>41788.850000000006</v>
      </c>
      <c r="AJ60" s="95">
        <f t="shared" si="127"/>
        <v>41788.850000000006</v>
      </c>
      <c r="AK60" s="95">
        <f t="shared" si="127"/>
        <v>41788.850000000006</v>
      </c>
      <c r="AL60" s="95">
        <f t="shared" si="127"/>
        <v>41788.850000000006</v>
      </c>
      <c r="AM60" s="95">
        <f t="shared" si="127"/>
        <v>41788.850000000006</v>
      </c>
      <c r="AN60" s="95">
        <f t="shared" si="127"/>
        <v>41788.850000000006</v>
      </c>
      <c r="AO60" s="95">
        <f t="shared" si="127"/>
        <v>41788.850000000006</v>
      </c>
      <c r="AP60" s="95">
        <f t="shared" si="127"/>
        <v>41788.850000000006</v>
      </c>
      <c r="AQ60" s="95">
        <f t="shared" si="127"/>
        <v>41788.850000000006</v>
      </c>
      <c r="AR60" s="95">
        <f t="shared" si="127"/>
        <v>41788.850000000006</v>
      </c>
      <c r="AS60" s="95">
        <f>AR60*1.07</f>
        <v>44714.069500000012</v>
      </c>
      <c r="AT60" s="95">
        <f>AS60</f>
        <v>44714.069500000012</v>
      </c>
      <c r="AU60" s="95">
        <f t="shared" ref="AU60:BD60" si="128">AT60</f>
        <v>44714.069500000012</v>
      </c>
      <c r="AV60" s="95">
        <f t="shared" si="128"/>
        <v>44714.069500000012</v>
      </c>
      <c r="AW60" s="95">
        <f t="shared" si="128"/>
        <v>44714.069500000012</v>
      </c>
      <c r="AX60" s="95">
        <f t="shared" si="128"/>
        <v>44714.069500000012</v>
      </c>
      <c r="AY60" s="95">
        <f t="shared" si="128"/>
        <v>44714.069500000012</v>
      </c>
      <c r="AZ60" s="95">
        <f t="shared" si="128"/>
        <v>44714.069500000012</v>
      </c>
      <c r="BA60" s="95">
        <f t="shared" si="128"/>
        <v>44714.069500000012</v>
      </c>
      <c r="BB60" s="95">
        <f t="shared" si="128"/>
        <v>44714.069500000012</v>
      </c>
      <c r="BC60" s="95">
        <f t="shared" si="128"/>
        <v>44714.069500000012</v>
      </c>
      <c r="BD60" s="95">
        <f t="shared" si="128"/>
        <v>44714.069500000012</v>
      </c>
      <c r="BE60" s="95">
        <f>BD60*1.07</f>
        <v>47844.054365000018</v>
      </c>
      <c r="BF60" s="95">
        <f>BE60</f>
        <v>47844.054365000018</v>
      </c>
      <c r="BG60" s="95">
        <f t="shared" ref="BG60:BP60" si="129">BF60</f>
        <v>47844.054365000018</v>
      </c>
      <c r="BH60" s="95">
        <f t="shared" si="129"/>
        <v>47844.054365000018</v>
      </c>
      <c r="BI60" s="95">
        <f t="shared" si="129"/>
        <v>47844.054365000018</v>
      </c>
      <c r="BJ60" s="95">
        <f t="shared" si="129"/>
        <v>47844.054365000018</v>
      </c>
      <c r="BK60" s="95">
        <f t="shared" si="129"/>
        <v>47844.054365000018</v>
      </c>
      <c r="BL60" s="95">
        <f t="shared" si="129"/>
        <v>47844.054365000018</v>
      </c>
      <c r="BM60" s="95">
        <f t="shared" si="129"/>
        <v>47844.054365000018</v>
      </c>
      <c r="BN60" s="95">
        <f t="shared" si="129"/>
        <v>47844.054365000018</v>
      </c>
      <c r="BO60" s="95">
        <f t="shared" si="129"/>
        <v>47844.054365000018</v>
      </c>
      <c r="BP60" s="95">
        <f t="shared" si="129"/>
        <v>47844.054365000018</v>
      </c>
      <c r="BQ60" s="61">
        <f t="shared" si="97"/>
        <v>2518823.6863800064</v>
      </c>
      <c r="BR60" s="146" t="s">
        <v>133</v>
      </c>
      <c r="BS60" s="146" t="s">
        <v>133</v>
      </c>
      <c r="BT60" s="147">
        <f t="shared" si="98"/>
        <v>438000</v>
      </c>
      <c r="BU60" s="147">
        <f t="shared" si="99"/>
        <v>468660</v>
      </c>
      <c r="BV60" s="147">
        <f t="shared" si="100"/>
        <v>501466.19999999995</v>
      </c>
      <c r="BW60" s="147">
        <f t="shared" si="101"/>
        <v>536568.83400000003</v>
      </c>
      <c r="BX60" s="147">
        <f t="shared" si="102"/>
        <v>574128.6523800001</v>
      </c>
      <c r="BY60" s="54">
        <f t="shared" si="103"/>
        <v>2518823.6863800064</v>
      </c>
    </row>
    <row r="61" spans="2:78" s="55" customFormat="1" ht="19.5" thickBot="1" x14ac:dyDescent="0.35">
      <c r="C61" s="55" t="s">
        <v>188</v>
      </c>
      <c r="D61" s="56" t="s">
        <v>161</v>
      </c>
      <c r="E61" s="56"/>
      <c r="F61" s="59"/>
      <c r="G61" s="100">
        <v>350000</v>
      </c>
      <c r="H61" s="100">
        <v>350000</v>
      </c>
      <c r="I61" s="100">
        <v>350000</v>
      </c>
      <c r="J61" s="100">
        <v>350000</v>
      </c>
      <c r="K61" s="100">
        <v>350000</v>
      </c>
      <c r="L61" s="100">
        <v>350000</v>
      </c>
      <c r="M61" s="100">
        <v>350000</v>
      </c>
      <c r="N61" s="100">
        <v>350000</v>
      </c>
      <c r="O61" s="100">
        <v>350000</v>
      </c>
      <c r="P61" s="100">
        <f>P62+P63</f>
        <v>350000</v>
      </c>
      <c r="Q61" s="100">
        <f t="shared" ref="Q61:S61" si="130">Q62+Q63</f>
        <v>350000</v>
      </c>
      <c r="R61" s="100">
        <f t="shared" si="130"/>
        <v>350000</v>
      </c>
      <c r="S61" s="218">
        <f t="shared" si="130"/>
        <v>4200000</v>
      </c>
      <c r="T61" s="100">
        <f t="shared" ref="T61" si="131">T62+T63</f>
        <v>367500</v>
      </c>
      <c r="U61" s="100">
        <f t="shared" ref="U61" si="132">U62+U63</f>
        <v>367500</v>
      </c>
      <c r="V61" s="100">
        <f t="shared" ref="V61" si="133">V62+V63</f>
        <v>367500</v>
      </c>
      <c r="W61" s="100">
        <f t="shared" ref="W61" si="134">W62+W63</f>
        <v>367500</v>
      </c>
      <c r="X61" s="100">
        <f t="shared" ref="X61" si="135">X62+X63</f>
        <v>367500</v>
      </c>
      <c r="Y61" s="100">
        <f t="shared" ref="Y61" si="136">Y62+Y63</f>
        <v>367500</v>
      </c>
      <c r="Z61" s="100">
        <f t="shared" ref="Z61" si="137">Z62+Z63</f>
        <v>367500</v>
      </c>
      <c r="AA61" s="100">
        <f t="shared" ref="AA61" si="138">AA62+AA63</f>
        <v>367500</v>
      </c>
      <c r="AB61" s="100">
        <f t="shared" ref="AB61" si="139">AB62+AB63</f>
        <v>367500</v>
      </c>
      <c r="AC61" s="100">
        <f t="shared" ref="AC61" si="140">AC62+AC63</f>
        <v>367500</v>
      </c>
      <c r="AD61" s="100">
        <f t="shared" ref="AD61" si="141">AD62+AD63</f>
        <v>367500</v>
      </c>
      <c r="AE61" s="100">
        <f t="shared" ref="AE61" si="142">AE62+AE63</f>
        <v>367500</v>
      </c>
      <c r="AF61" s="99">
        <f t="shared" si="72"/>
        <v>4410000</v>
      </c>
      <c r="AG61" s="100">
        <f t="shared" ref="AG61" si="143">AG62+AG63</f>
        <v>385875</v>
      </c>
      <c r="AH61" s="100">
        <f t="shared" ref="AH61" si="144">AH62+AH63</f>
        <v>385875</v>
      </c>
      <c r="AI61" s="100">
        <f t="shared" ref="AI61" si="145">AI62+AI63</f>
        <v>385875</v>
      </c>
      <c r="AJ61" s="100">
        <f t="shared" ref="AJ61" si="146">AJ62+AJ63</f>
        <v>385875</v>
      </c>
      <c r="AK61" s="100">
        <f t="shared" ref="AK61" si="147">AK62+AK63</f>
        <v>385875</v>
      </c>
      <c r="AL61" s="100">
        <f t="shared" ref="AL61" si="148">AL62+AL63</f>
        <v>385875</v>
      </c>
      <c r="AM61" s="100">
        <f t="shared" ref="AM61" si="149">AM62+AM63</f>
        <v>385875</v>
      </c>
      <c r="AN61" s="100">
        <f t="shared" ref="AN61" si="150">AN62+AN63</f>
        <v>385875</v>
      </c>
      <c r="AO61" s="100">
        <f t="shared" ref="AO61" si="151">AO62+AO63</f>
        <v>385875</v>
      </c>
      <c r="AP61" s="100">
        <f t="shared" ref="AP61" si="152">AP62+AP63</f>
        <v>385875</v>
      </c>
      <c r="AQ61" s="100">
        <f t="shared" ref="AQ61" si="153">AQ62+AQ63</f>
        <v>385875</v>
      </c>
      <c r="AR61" s="100">
        <f t="shared" ref="AR61" si="154">AR62+AR63</f>
        <v>385875</v>
      </c>
      <c r="AS61" s="100">
        <f t="shared" ref="AS61" si="155">AS62+AS63</f>
        <v>405168.75</v>
      </c>
      <c r="AT61" s="100">
        <f t="shared" ref="AT61" si="156">AT62+AT63</f>
        <v>405168.75</v>
      </c>
      <c r="AU61" s="100">
        <f t="shared" ref="AU61" si="157">AU62+AU63</f>
        <v>405168.75</v>
      </c>
      <c r="AV61" s="100">
        <f t="shared" ref="AV61" si="158">AV62+AV63</f>
        <v>405168.75</v>
      </c>
      <c r="AW61" s="100">
        <f t="shared" ref="AW61" si="159">AW62+AW63</f>
        <v>405168.75</v>
      </c>
      <c r="AX61" s="100">
        <f t="shared" ref="AX61" si="160">AX62+AX63</f>
        <v>405168.75</v>
      </c>
      <c r="AY61" s="100">
        <f t="shared" ref="AY61" si="161">AY62+AY63</f>
        <v>405168.75</v>
      </c>
      <c r="AZ61" s="100">
        <f t="shared" ref="AZ61" si="162">AZ62+AZ63</f>
        <v>405168.75</v>
      </c>
      <c r="BA61" s="100">
        <f t="shared" ref="BA61" si="163">BA62+BA63</f>
        <v>405168.75</v>
      </c>
      <c r="BB61" s="100">
        <f t="shared" ref="BB61" si="164">BB62+BB63</f>
        <v>405168.75</v>
      </c>
      <c r="BC61" s="100">
        <f t="shared" ref="BC61" si="165">BC62+BC63</f>
        <v>405168.75</v>
      </c>
      <c r="BD61" s="100">
        <f t="shared" ref="BD61" si="166">BD62+BD63</f>
        <v>405168.75</v>
      </c>
      <c r="BE61" s="100">
        <f t="shared" ref="BE61" si="167">BE62+BE63</f>
        <v>425427.1875</v>
      </c>
      <c r="BF61" s="100">
        <f t="shared" ref="BF61" si="168">BF62+BF63</f>
        <v>425427.1875</v>
      </c>
      <c r="BG61" s="100">
        <f t="shared" ref="BG61" si="169">BG62+BG63</f>
        <v>425427.1875</v>
      </c>
      <c r="BH61" s="100">
        <f t="shared" ref="BH61" si="170">BH62+BH63</f>
        <v>425427.1875</v>
      </c>
      <c r="BI61" s="100">
        <f t="shared" ref="BI61" si="171">BI62+BI63</f>
        <v>425427.1875</v>
      </c>
      <c r="BJ61" s="100">
        <f t="shared" ref="BJ61" si="172">BJ62+BJ63</f>
        <v>425427.1875</v>
      </c>
      <c r="BK61" s="100">
        <f t="shared" ref="BK61" si="173">BK62+BK63</f>
        <v>425427.1875</v>
      </c>
      <c r="BL61" s="100">
        <f t="shared" ref="BL61" si="174">BL62+BL63</f>
        <v>425427.1875</v>
      </c>
      <c r="BM61" s="100">
        <f t="shared" ref="BM61" si="175">BM62+BM63</f>
        <v>425427.1875</v>
      </c>
      <c r="BN61" s="100">
        <f t="shared" ref="BN61" si="176">BN62+BN63</f>
        <v>425427.1875</v>
      </c>
      <c r="BO61" s="100">
        <f t="shared" ref="BO61" si="177">BO62+BO63</f>
        <v>425427.1875</v>
      </c>
      <c r="BP61" s="100">
        <f t="shared" ref="BP61" si="178">BP62+BP63</f>
        <v>425427.1875</v>
      </c>
      <c r="BQ61" s="61">
        <f t="shared" si="97"/>
        <v>23207651.25</v>
      </c>
      <c r="BR61" s="143" t="s">
        <v>135</v>
      </c>
      <c r="BS61" s="143"/>
      <c r="BT61" s="147">
        <f>SUM(G61:R61)</f>
        <v>4200000</v>
      </c>
      <c r="BU61" s="147">
        <f>SUM(T61:AE61)</f>
        <v>4410000</v>
      </c>
      <c r="BV61" s="147">
        <f>SUM(AG61:AR61)</f>
        <v>4630500</v>
      </c>
      <c r="BW61" s="147">
        <f>SUM(AS61:BD61)</f>
        <v>4862025</v>
      </c>
      <c r="BX61" s="147">
        <f>SUM(BE61:BP61)</f>
        <v>5105126.25</v>
      </c>
      <c r="BY61" s="54">
        <f>BQ61</f>
        <v>23207651.25</v>
      </c>
    </row>
    <row r="62" spans="2:78" s="93" customFormat="1" x14ac:dyDescent="0.3">
      <c r="C62" s="93" t="s">
        <v>188</v>
      </c>
      <c r="D62" s="101" t="s">
        <v>166</v>
      </c>
      <c r="E62" s="101"/>
      <c r="F62" s="94"/>
      <c r="G62" s="222">
        <v>310000</v>
      </c>
      <c r="H62" s="186">
        <v>310000</v>
      </c>
      <c r="I62" s="186">
        <v>310000</v>
      </c>
      <c r="J62" s="186">
        <v>310000</v>
      </c>
      <c r="K62" s="186">
        <v>310000</v>
      </c>
      <c r="L62" s="186">
        <v>310000</v>
      </c>
      <c r="M62" s="186">
        <v>310000</v>
      </c>
      <c r="N62" s="186">
        <v>310000</v>
      </c>
      <c r="O62" s="186">
        <v>310000</v>
      </c>
      <c r="P62" s="186">
        <v>310000</v>
      </c>
      <c r="Q62" s="186">
        <v>310000</v>
      </c>
      <c r="R62" s="186">
        <v>310000</v>
      </c>
      <c r="S62" s="223">
        <f t="shared" si="121"/>
        <v>3720000</v>
      </c>
      <c r="T62" s="222">
        <f>R62*1.05</f>
        <v>325500</v>
      </c>
      <c r="U62" s="186">
        <f>T62</f>
        <v>325500</v>
      </c>
      <c r="V62" s="186">
        <f>U62</f>
        <v>325500</v>
      </c>
      <c r="W62" s="186">
        <f t="shared" ref="W62:AE62" si="179">V62</f>
        <v>325500</v>
      </c>
      <c r="X62" s="186">
        <f t="shared" si="179"/>
        <v>325500</v>
      </c>
      <c r="Y62" s="186">
        <f t="shared" si="179"/>
        <v>325500</v>
      </c>
      <c r="Z62" s="186">
        <f t="shared" si="179"/>
        <v>325500</v>
      </c>
      <c r="AA62" s="186">
        <f t="shared" si="179"/>
        <v>325500</v>
      </c>
      <c r="AB62" s="186">
        <f t="shared" si="179"/>
        <v>325500</v>
      </c>
      <c r="AC62" s="186">
        <f t="shared" si="179"/>
        <v>325500</v>
      </c>
      <c r="AD62" s="186">
        <f t="shared" si="179"/>
        <v>325500</v>
      </c>
      <c r="AE62" s="186">
        <f t="shared" si="179"/>
        <v>325500</v>
      </c>
      <c r="AF62" s="240">
        <f t="shared" si="72"/>
        <v>3906000</v>
      </c>
      <c r="AG62" s="95">
        <f>AE62*1.05</f>
        <v>341775</v>
      </c>
      <c r="AH62" s="95">
        <f>AG62</f>
        <v>341775</v>
      </c>
      <c r="AI62" s="95">
        <f>AH62</f>
        <v>341775</v>
      </c>
      <c r="AJ62" s="95">
        <f t="shared" ref="AJ62" si="180">AI62</f>
        <v>341775</v>
      </c>
      <c r="AK62" s="95">
        <f t="shared" ref="AK62" si="181">AJ62</f>
        <v>341775</v>
      </c>
      <c r="AL62" s="95">
        <f t="shared" ref="AL62" si="182">AK62</f>
        <v>341775</v>
      </c>
      <c r="AM62" s="95">
        <f t="shared" ref="AM62" si="183">AL62</f>
        <v>341775</v>
      </c>
      <c r="AN62" s="95">
        <f t="shared" ref="AN62" si="184">AM62</f>
        <v>341775</v>
      </c>
      <c r="AO62" s="95">
        <f t="shared" ref="AO62" si="185">AN62</f>
        <v>341775</v>
      </c>
      <c r="AP62" s="95">
        <f t="shared" ref="AP62" si="186">AO62</f>
        <v>341775</v>
      </c>
      <c r="AQ62" s="95">
        <f t="shared" ref="AQ62" si="187">AP62</f>
        <v>341775</v>
      </c>
      <c r="AR62" s="95">
        <f t="shared" ref="AR62" si="188">AQ62</f>
        <v>341775</v>
      </c>
      <c r="AS62" s="95">
        <f>AR62*1.05</f>
        <v>358863.75</v>
      </c>
      <c r="AT62" s="95">
        <f>AS62</f>
        <v>358863.75</v>
      </c>
      <c r="AU62" s="95">
        <f>AT62</f>
        <v>358863.75</v>
      </c>
      <c r="AV62" s="95">
        <f t="shared" ref="AV62" si="189">AU62</f>
        <v>358863.75</v>
      </c>
      <c r="AW62" s="95">
        <f t="shared" ref="AW62" si="190">AV62</f>
        <v>358863.75</v>
      </c>
      <c r="AX62" s="95">
        <f t="shared" ref="AX62" si="191">AW62</f>
        <v>358863.75</v>
      </c>
      <c r="AY62" s="95">
        <f t="shared" ref="AY62" si="192">AX62</f>
        <v>358863.75</v>
      </c>
      <c r="AZ62" s="95">
        <f t="shared" ref="AZ62" si="193">AY62</f>
        <v>358863.75</v>
      </c>
      <c r="BA62" s="95">
        <f t="shared" ref="BA62" si="194">AZ62</f>
        <v>358863.75</v>
      </c>
      <c r="BB62" s="95">
        <f t="shared" ref="BB62" si="195">BA62</f>
        <v>358863.75</v>
      </c>
      <c r="BC62" s="95">
        <f t="shared" ref="BC62" si="196">BB62</f>
        <v>358863.75</v>
      </c>
      <c r="BD62" s="95">
        <f t="shared" ref="BD62" si="197">BC62</f>
        <v>358863.75</v>
      </c>
      <c r="BE62" s="95">
        <f>BD62*1.05</f>
        <v>376806.9375</v>
      </c>
      <c r="BF62" s="95">
        <f>BE62</f>
        <v>376806.9375</v>
      </c>
      <c r="BG62" s="95">
        <f>BF62</f>
        <v>376806.9375</v>
      </c>
      <c r="BH62" s="95">
        <f t="shared" ref="BH62" si="198">BG62</f>
        <v>376806.9375</v>
      </c>
      <c r="BI62" s="95">
        <f t="shared" ref="BI62" si="199">BH62</f>
        <v>376806.9375</v>
      </c>
      <c r="BJ62" s="95">
        <f t="shared" ref="BJ62" si="200">BI62</f>
        <v>376806.9375</v>
      </c>
      <c r="BK62" s="95">
        <f t="shared" ref="BK62" si="201">BJ62</f>
        <v>376806.9375</v>
      </c>
      <c r="BL62" s="95">
        <f t="shared" ref="BL62" si="202">BK62</f>
        <v>376806.9375</v>
      </c>
      <c r="BM62" s="95">
        <f t="shared" ref="BM62" si="203">BL62</f>
        <v>376806.9375</v>
      </c>
      <c r="BN62" s="95">
        <f t="shared" ref="BN62" si="204">BM62</f>
        <v>376806.9375</v>
      </c>
      <c r="BO62" s="95">
        <f t="shared" ref="BO62" si="205">BN62</f>
        <v>376806.9375</v>
      </c>
      <c r="BP62" s="95">
        <f t="shared" ref="BP62" si="206">BO62</f>
        <v>376806.9375</v>
      </c>
      <c r="BQ62" s="61">
        <f t="shared" si="97"/>
        <v>20555348.25</v>
      </c>
      <c r="BR62" s="146"/>
      <c r="BS62" s="146"/>
      <c r="BT62" s="147"/>
      <c r="BU62" s="147"/>
      <c r="BV62" s="147"/>
      <c r="BW62" s="147"/>
      <c r="BX62" s="147"/>
      <c r="BY62" s="54"/>
    </row>
    <row r="63" spans="2:78" s="93" customFormat="1" ht="19.5" thickBot="1" x14ac:dyDescent="0.35">
      <c r="C63" s="93" t="s">
        <v>188</v>
      </c>
      <c r="D63" s="101" t="s">
        <v>160</v>
      </c>
      <c r="E63" s="101"/>
      <c r="F63" s="94"/>
      <c r="G63" s="224">
        <v>40000</v>
      </c>
      <c r="H63" s="190">
        <v>40000</v>
      </c>
      <c r="I63" s="190">
        <v>40000</v>
      </c>
      <c r="J63" s="190">
        <v>40000</v>
      </c>
      <c r="K63" s="190">
        <v>40000</v>
      </c>
      <c r="L63" s="190">
        <v>40000</v>
      </c>
      <c r="M63" s="190">
        <v>40000</v>
      </c>
      <c r="N63" s="190">
        <v>40000</v>
      </c>
      <c r="O63" s="190">
        <v>40000</v>
      </c>
      <c r="P63" s="190">
        <v>40000</v>
      </c>
      <c r="Q63" s="190">
        <v>40000</v>
      </c>
      <c r="R63" s="190">
        <v>40000</v>
      </c>
      <c r="S63" s="225">
        <f t="shared" si="121"/>
        <v>480000</v>
      </c>
      <c r="T63" s="224">
        <f>R63*1.05</f>
        <v>42000</v>
      </c>
      <c r="U63" s="190">
        <f>T63</f>
        <v>42000</v>
      </c>
      <c r="V63" s="190">
        <f>U63</f>
        <v>42000</v>
      </c>
      <c r="W63" s="190">
        <f t="shared" ref="W63" si="207">V63</f>
        <v>42000</v>
      </c>
      <c r="X63" s="190">
        <f t="shared" ref="X63" si="208">W63</f>
        <v>42000</v>
      </c>
      <c r="Y63" s="190">
        <f t="shared" ref="Y63" si="209">X63</f>
        <v>42000</v>
      </c>
      <c r="Z63" s="190">
        <f t="shared" ref="Z63" si="210">Y63</f>
        <v>42000</v>
      </c>
      <c r="AA63" s="190">
        <f t="shared" ref="AA63" si="211">Z63</f>
        <v>42000</v>
      </c>
      <c r="AB63" s="190">
        <f t="shared" ref="AB63" si="212">AA63</f>
        <v>42000</v>
      </c>
      <c r="AC63" s="190">
        <f t="shared" ref="AC63" si="213">AB63</f>
        <v>42000</v>
      </c>
      <c r="AD63" s="190">
        <f t="shared" ref="AD63" si="214">AC63</f>
        <v>42000</v>
      </c>
      <c r="AE63" s="190">
        <f t="shared" ref="AE63" si="215">AD63</f>
        <v>42000</v>
      </c>
      <c r="AF63" s="242">
        <f t="shared" si="72"/>
        <v>504000</v>
      </c>
      <c r="AG63" s="95">
        <f>AE63*1.05</f>
        <v>44100</v>
      </c>
      <c r="AH63" s="95">
        <f>AG63</f>
        <v>44100</v>
      </c>
      <c r="AI63" s="95">
        <f>AH63</f>
        <v>44100</v>
      </c>
      <c r="AJ63" s="95">
        <f t="shared" ref="AJ63" si="216">AI63</f>
        <v>44100</v>
      </c>
      <c r="AK63" s="95">
        <f t="shared" ref="AK63" si="217">AJ63</f>
        <v>44100</v>
      </c>
      <c r="AL63" s="95">
        <f t="shared" ref="AL63" si="218">AK63</f>
        <v>44100</v>
      </c>
      <c r="AM63" s="95">
        <f t="shared" ref="AM63" si="219">AL63</f>
        <v>44100</v>
      </c>
      <c r="AN63" s="95">
        <f t="shared" ref="AN63" si="220">AM63</f>
        <v>44100</v>
      </c>
      <c r="AO63" s="95">
        <f t="shared" ref="AO63" si="221">AN63</f>
        <v>44100</v>
      </c>
      <c r="AP63" s="95">
        <f t="shared" ref="AP63" si="222">AO63</f>
        <v>44100</v>
      </c>
      <c r="AQ63" s="95">
        <f t="shared" ref="AQ63" si="223">AP63</f>
        <v>44100</v>
      </c>
      <c r="AR63" s="95">
        <f t="shared" ref="AR63" si="224">AQ63</f>
        <v>44100</v>
      </c>
      <c r="AS63" s="95">
        <f>AR63*1.05</f>
        <v>46305</v>
      </c>
      <c r="AT63" s="95">
        <f>AS63</f>
        <v>46305</v>
      </c>
      <c r="AU63" s="95">
        <f>AT63</f>
        <v>46305</v>
      </c>
      <c r="AV63" s="95">
        <f t="shared" ref="AV63" si="225">AU63</f>
        <v>46305</v>
      </c>
      <c r="AW63" s="95">
        <f t="shared" ref="AW63" si="226">AV63</f>
        <v>46305</v>
      </c>
      <c r="AX63" s="95">
        <f t="shared" ref="AX63" si="227">AW63</f>
        <v>46305</v>
      </c>
      <c r="AY63" s="95">
        <f t="shared" ref="AY63" si="228">AX63</f>
        <v>46305</v>
      </c>
      <c r="AZ63" s="95">
        <f t="shared" ref="AZ63" si="229">AY63</f>
        <v>46305</v>
      </c>
      <c r="BA63" s="95">
        <f t="shared" ref="BA63" si="230">AZ63</f>
        <v>46305</v>
      </c>
      <c r="BB63" s="95">
        <f t="shared" ref="BB63" si="231">BA63</f>
        <v>46305</v>
      </c>
      <c r="BC63" s="95">
        <f t="shared" ref="BC63" si="232">BB63</f>
        <v>46305</v>
      </c>
      <c r="BD63" s="95">
        <f t="shared" ref="BD63" si="233">BC63</f>
        <v>46305</v>
      </c>
      <c r="BE63" s="95">
        <f>BD63*1.05</f>
        <v>48620.25</v>
      </c>
      <c r="BF63" s="95">
        <f>BE63</f>
        <v>48620.25</v>
      </c>
      <c r="BG63" s="95">
        <f>BF63</f>
        <v>48620.25</v>
      </c>
      <c r="BH63" s="95">
        <f t="shared" ref="BH63" si="234">BG63</f>
        <v>48620.25</v>
      </c>
      <c r="BI63" s="95">
        <f t="shared" ref="BI63" si="235">BH63</f>
        <v>48620.25</v>
      </c>
      <c r="BJ63" s="95">
        <f t="shared" ref="BJ63" si="236">BI63</f>
        <v>48620.25</v>
      </c>
      <c r="BK63" s="95">
        <f t="shared" ref="BK63" si="237">BJ63</f>
        <v>48620.25</v>
      </c>
      <c r="BL63" s="95">
        <f t="shared" ref="BL63" si="238">BK63</f>
        <v>48620.25</v>
      </c>
      <c r="BM63" s="95">
        <f t="shared" ref="BM63" si="239">BL63</f>
        <v>48620.25</v>
      </c>
      <c r="BN63" s="95">
        <f t="shared" ref="BN63" si="240">BM63</f>
        <v>48620.25</v>
      </c>
      <c r="BO63" s="95">
        <f t="shared" ref="BO63" si="241">BN63</f>
        <v>48620.25</v>
      </c>
      <c r="BP63" s="95">
        <f t="shared" ref="BP63" si="242">BO63</f>
        <v>48620.25</v>
      </c>
      <c r="BQ63" s="61">
        <f t="shared" si="97"/>
        <v>2652303</v>
      </c>
      <c r="BR63" s="146"/>
      <c r="BS63" s="146"/>
      <c r="BT63" s="147"/>
      <c r="BU63" s="147"/>
      <c r="BV63" s="147"/>
      <c r="BW63" s="147"/>
      <c r="BX63" s="147"/>
      <c r="BY63" s="54"/>
    </row>
    <row r="64" spans="2:78" ht="15" x14ac:dyDescent="0.25">
      <c r="B64" s="1"/>
      <c r="C64" s="1"/>
      <c r="D64" s="139" t="s">
        <v>159</v>
      </c>
      <c r="E64" s="139"/>
      <c r="F64" s="35"/>
      <c r="G64" s="255">
        <f>G65/G12</f>
        <v>-0.99550449550551157</v>
      </c>
      <c r="H64" s="255">
        <f t="shared" ref="H64:R64" si="243">H65/H12</f>
        <v>-0.20579209625301417</v>
      </c>
      <c r="I64" s="255">
        <f t="shared" si="243"/>
        <v>-7.2414493930955656E-2</v>
      </c>
      <c r="J64" s="255">
        <f t="shared" si="243"/>
        <v>-5.2278408547701532E-4</v>
      </c>
      <c r="K64" s="255">
        <f t="shared" si="243"/>
        <v>3.8777622243511119E-2</v>
      </c>
      <c r="L64" s="255">
        <f t="shared" si="243"/>
        <v>6.4838201922778102E-2</v>
      </c>
      <c r="M64" s="255">
        <f t="shared" si="243"/>
        <v>8.6297482896709909E-2</v>
      </c>
      <c r="N64" s="255">
        <f t="shared" si="243"/>
        <v>0.10236972571192134</v>
      </c>
      <c r="O64" s="255">
        <f t="shared" si="243"/>
        <v>0.11239153367674456</v>
      </c>
      <c r="P64" s="255">
        <f t="shared" si="243"/>
        <v>0.12253216289883312</v>
      </c>
      <c r="Q64" s="255">
        <f t="shared" si="243"/>
        <v>0.12869607377584699</v>
      </c>
      <c r="R64" s="255">
        <f t="shared" si="243"/>
        <v>0.1356867161564978</v>
      </c>
      <c r="S64" s="255"/>
      <c r="T64" s="255">
        <f t="shared" ref="T64" si="244">T65/T12</f>
        <v>0.17288271906896968</v>
      </c>
      <c r="U64" s="255">
        <f t="shared" ref="U64" si="245">U65/U12</f>
        <v>0.17847480619782038</v>
      </c>
      <c r="V64" s="255">
        <f t="shared" ref="V64" si="246">V65/V12</f>
        <v>0.18160220996807896</v>
      </c>
      <c r="W64" s="255">
        <f t="shared" ref="W64" si="247">W65/W12</f>
        <v>0.18586264761662627</v>
      </c>
      <c r="X64" s="255">
        <f t="shared" ref="X64" si="248">X65/X12</f>
        <v>0.1895969988227206</v>
      </c>
      <c r="Y64" s="255">
        <f t="shared" ref="Y64" si="249">Y65/Y12</f>
        <v>0.19138614228606651</v>
      </c>
      <c r="Z64" s="255">
        <f t="shared" ref="Z64" si="250">Z65/Z12</f>
        <v>0.19436088637058785</v>
      </c>
      <c r="AA64" s="255">
        <f t="shared" ref="AA64" si="251">AA65/AA12</f>
        <v>0.19701684476841891</v>
      </c>
      <c r="AB64" s="255">
        <f t="shared" ref="AB64" si="252">AB65/AB12</f>
        <v>0.19939967908736125</v>
      </c>
      <c r="AC64" s="255">
        <f t="shared" ref="AC64" si="253">AC65/AC12</f>
        <v>0.20154677194969112</v>
      </c>
      <c r="AD64" s="255">
        <f t="shared" ref="AD64" si="254">AD65/AD12</f>
        <v>0.20217709783112195</v>
      </c>
      <c r="AE64" s="255">
        <f t="shared" ref="AE64" si="255">AE65/AE12</f>
        <v>0.20396866436525918</v>
      </c>
      <c r="AF64" s="255">
        <f t="shared" ref="AF64" si="256">AF65/AF12</f>
        <v>0.19261853831504372</v>
      </c>
      <c r="AG64" s="255">
        <f t="shared" ref="AG64" si="257">AG65/AG12</f>
        <v>0.15307385259334239</v>
      </c>
      <c r="AH64" s="255">
        <f t="shared" ref="AH64" si="258">AH65/AH12</f>
        <v>0.20754330886527858</v>
      </c>
      <c r="AI64" s="255">
        <f t="shared" ref="AI64" si="259">AI65/AI12</f>
        <v>0.20890020928672531</v>
      </c>
      <c r="AJ64" s="255">
        <f t="shared" ref="AJ64" si="260">AJ65/AJ12</f>
        <v>0.21014592980469118</v>
      </c>
      <c r="AK64" s="255">
        <f t="shared" ref="AK64" si="261">AK65/AK12</f>
        <v>0.2112921483771136</v>
      </c>
      <c r="AL64" s="255">
        <f t="shared" ref="AL64" si="262">AL65/AL12</f>
        <v>0.21234899157017609</v>
      </c>
      <c r="AM64" s="255">
        <f t="shared" ref="AM64" si="263">AM65/AM12</f>
        <v>0.21332528418455046</v>
      </c>
      <c r="AN64" s="255">
        <f t="shared" ref="AN64" si="264">AN65/AN12</f>
        <v>0.21310125915499728</v>
      </c>
      <c r="AO64" s="255">
        <f t="shared" ref="AO64" si="265">AO65/AO12</f>
        <v>0.21395204434705106</v>
      </c>
      <c r="AP64" s="255">
        <f t="shared" ref="AP64" si="266">AP65/AP12</f>
        <v>0.21474183800259838</v>
      </c>
      <c r="AQ64" s="255">
        <f t="shared" ref="AQ64" si="267">AQ65/AQ12</f>
        <v>0.21547603913394289</v>
      </c>
      <c r="AR64" s="255">
        <f t="shared" ref="AR64" si="268">AR65/AR12</f>
        <v>0.21615944916029006</v>
      </c>
      <c r="AS64" s="255">
        <f t="shared" ref="AS64" si="269">AS65/AS12</f>
        <v>0.21820535807953281</v>
      </c>
      <c r="AT64" s="255">
        <f t="shared" ref="AT64" si="270">AT65/AT12</f>
        <v>0.21878730636282501</v>
      </c>
      <c r="AU64" s="255">
        <f t="shared" ref="AU64" si="271">AU65/AU12</f>
        <v>0.21933083646244864</v>
      </c>
      <c r="AV64" s="255">
        <f t="shared" ref="AV64" si="272">AV65/AV12</f>
        <v>0.21983898391608064</v>
      </c>
      <c r="AW64" s="255">
        <f t="shared" ref="AW64" si="273">AW65/AW12</f>
        <v>0.22031448887217558</v>
      </c>
      <c r="AX64" s="255">
        <f t="shared" ref="AX64" si="274">AX65/AX12</f>
        <v>0.22075983105253347</v>
      </c>
      <c r="AY64" s="255">
        <f t="shared" ref="AY64" si="275">AY65/AY12</f>
        <v>0.2201553562557442</v>
      </c>
      <c r="AZ64" s="255">
        <f t="shared" ref="AZ64" si="276">AZ65/AZ12</f>
        <v>0.22055318997181028</v>
      </c>
      <c r="BA64" s="255">
        <f t="shared" ref="BA64" si="277">BA65/BA12</f>
        <v>0.22092663402122703</v>
      </c>
      <c r="BB64" s="255">
        <f t="shared" ref="BB64" si="278">BB65/BB12</f>
        <v>0.22127741672546367</v>
      </c>
      <c r="BC64" s="255">
        <f t="shared" ref="BC64" si="279">BC65/BC12</f>
        <v>0.22160711900387012</v>
      </c>
      <c r="BD64" s="255">
        <f t="shared" ref="BD64" si="280">BD65/BD12</f>
        <v>0.22191718959248102</v>
      </c>
      <c r="BE64" s="255">
        <f t="shared" ref="BE64" si="281">BE65/BE12</f>
        <v>0.21845070536272976</v>
      </c>
      <c r="BF64" s="255">
        <f t="shared" ref="BF64" si="282">BF65/BF12</f>
        <v>0.21874184636378044</v>
      </c>
      <c r="BG64" s="255">
        <f t="shared" ref="BG64" si="283">BG65/BG12</f>
        <v>0.21901607922937691</v>
      </c>
      <c r="BH64" s="255">
        <f t="shared" ref="BH64" si="284">BH65/BH12</f>
        <v>0.21927450487817715</v>
      </c>
      <c r="BI64" s="255">
        <f t="shared" ref="BI64" si="285">BI65/BI12</f>
        <v>0.21951814016053342</v>
      </c>
      <c r="BJ64" s="255">
        <f t="shared" ref="BJ64" si="286">BJ65/BJ12</f>
        <v>0.21974792555059938</v>
      </c>
      <c r="BK64" s="255">
        <f t="shared" ref="BK64" si="287">BK65/BK12</f>
        <v>0.21996473200477829</v>
      </c>
      <c r="BL64" s="255">
        <f t="shared" ref="BL64" si="288">BL65/BL12</f>
        <v>0.22016936709063339</v>
      </c>
      <c r="BM64" s="255">
        <f t="shared" ref="BM64" si="289">BM65/BM12</f>
        <v>0.22036258047574023</v>
      </c>
      <c r="BN64" s="255">
        <f t="shared" ref="BN64" si="290">BN65/BN12</f>
        <v>0.22054506885363948</v>
      </c>
      <c r="BO64" s="255">
        <f t="shared" ref="BO64" si="291">BO65/BO12</f>
        <v>0.22071748037356315</v>
      </c>
      <c r="BP64" s="255">
        <f t="shared" ref="BP64" si="292">BP65/BP12</f>
        <v>0.22088041863172339</v>
      </c>
      <c r="BQ64" s="61">
        <f t="shared" si="97"/>
        <v>9.5867540316128306</v>
      </c>
      <c r="BR64" s="139" t="s">
        <v>159</v>
      </c>
      <c r="BS64" s="139"/>
      <c r="BT64" s="255">
        <f t="shared" ref="BT64" si="293">BT65/BT12</f>
        <v>6.4924768497892402E-2</v>
      </c>
      <c r="BU64" s="255">
        <f t="shared" ref="BU64" si="294">BU65/BU12</f>
        <v>0.19261853831504375</v>
      </c>
      <c r="BV64" s="255">
        <f t="shared" ref="BV64" si="295">BV65/BV12</f>
        <v>0.20801204094518613</v>
      </c>
      <c r="BW64" s="255">
        <f t="shared" ref="BW64" si="296">BW65/BW12</f>
        <v>0.22032987454314884</v>
      </c>
      <c r="BX64" s="255">
        <f t="shared" ref="BX64" si="297">BX65/BX12</f>
        <v>0.21979127112494784</v>
      </c>
      <c r="BY64" s="38"/>
      <c r="BZ64" s="1"/>
    </row>
    <row r="65" spans="2:78" s="67" customFormat="1" ht="15.75" customHeight="1" x14ac:dyDescent="0.3">
      <c r="D65" s="68" t="s">
        <v>1</v>
      </c>
      <c r="E65" s="71"/>
      <c r="F65" s="69">
        <f>F19-F22-F42-F26-F27-F31-F35</f>
        <v>-6</v>
      </c>
      <c r="G65" s="70">
        <f t="shared" ref="G65:AN65" si="298">G12-G21-G40</f>
        <v>-1422781.38928</v>
      </c>
      <c r="H65" s="70">
        <f t="shared" si="298"/>
        <v>-562236.65626969794</v>
      </c>
      <c r="I65" s="70">
        <f t="shared" si="298"/>
        <v>-287469.15974489832</v>
      </c>
      <c r="J65" s="70">
        <f t="shared" si="298"/>
        <v>-2690.0380463383626</v>
      </c>
      <c r="K65" s="70">
        <f t="shared" si="298"/>
        <v>242850.12756729382</v>
      </c>
      <c r="L65" s="70">
        <f t="shared" si="298"/>
        <v>474863.28490024479</v>
      </c>
      <c r="M65" s="70">
        <f t="shared" si="298"/>
        <v>719025.78436654643</v>
      </c>
      <c r="N65" s="70">
        <f t="shared" si="298"/>
        <v>950980.15885953465</v>
      </c>
      <c r="O65" s="70">
        <f t="shared" si="298"/>
        <v>1146336.8146278746</v>
      </c>
      <c r="P65" s="70">
        <f t="shared" si="298"/>
        <v>1355675.6376077961</v>
      </c>
      <c r="Q65" s="70">
        <f t="shared" si="298"/>
        <v>1529547.5194387189</v>
      </c>
      <c r="R65" s="70">
        <f t="shared" si="298"/>
        <v>1718475.8071781001</v>
      </c>
      <c r="S65" s="218">
        <f>SUM(F65:R65)</f>
        <v>5862571.8912051748</v>
      </c>
      <c r="T65" s="70">
        <f t="shared" si="298"/>
        <v>2317681.3306108294</v>
      </c>
      <c r="U65" s="70">
        <f t="shared" si="298"/>
        <v>2518297.5608872455</v>
      </c>
      <c r="V65" s="70">
        <f t="shared" si="298"/>
        <v>2683882.9796498409</v>
      </c>
      <c r="W65" s="70">
        <f t="shared" si="298"/>
        <v>2864939.1274743048</v>
      </c>
      <c r="X65" s="70">
        <f t="shared" si="298"/>
        <v>3036942.4679075456</v>
      </c>
      <c r="Y65" s="70">
        <f t="shared" si="298"/>
        <v>3175345.641319124</v>
      </c>
      <c r="Z65" s="70">
        <f t="shared" si="298"/>
        <v>3330578.6560601243</v>
      </c>
      <c r="AA65" s="70">
        <f t="shared" si="298"/>
        <v>3478050.0200640736</v>
      </c>
      <c r="AB65" s="70">
        <f t="shared" si="298"/>
        <v>3618147.8158678268</v>
      </c>
      <c r="AC65" s="70">
        <f t="shared" si="298"/>
        <v>3751240.7218813947</v>
      </c>
      <c r="AD65" s="70">
        <f t="shared" si="298"/>
        <v>3852678.9825942763</v>
      </c>
      <c r="AE65" s="70">
        <f t="shared" si="298"/>
        <v>3972795.330271523</v>
      </c>
      <c r="AF65" s="99">
        <f t="shared" si="72"/>
        <v>38600580.634588107</v>
      </c>
      <c r="AG65" s="70">
        <f t="shared" si="298"/>
        <v>3042789.8305648975</v>
      </c>
      <c r="AH65" s="70">
        <f t="shared" si="298"/>
        <v>4204482.8343436206</v>
      </c>
      <c r="AI65" s="70">
        <f t="shared" si="298"/>
        <v>4307467.5879333932</v>
      </c>
      <c r="AJ65" s="70">
        <f t="shared" si="298"/>
        <v>4405303.1038436787</v>
      </c>
      <c r="AK65" s="70">
        <f t="shared" si="298"/>
        <v>4498246.8439584505</v>
      </c>
      <c r="AL65" s="70">
        <f t="shared" si="298"/>
        <v>4586543.3970674844</v>
      </c>
      <c r="AM65" s="70">
        <f t="shared" si="298"/>
        <v>4670425.1225210689</v>
      </c>
      <c r="AN65" s="70">
        <f t="shared" si="298"/>
        <v>4725112.7617019732</v>
      </c>
      <c r="AO65" s="70">
        <f t="shared" ref="AO65:BP65" si="299">AO12-AO21-AO40</f>
        <v>4800816.0189238274</v>
      </c>
      <c r="AP65" s="70">
        <f t="shared" si="299"/>
        <v>4872734.1132845953</v>
      </c>
      <c r="AQ65" s="70">
        <f t="shared" si="299"/>
        <v>4941056.3029273208</v>
      </c>
      <c r="AR65" s="70">
        <f t="shared" si="299"/>
        <v>5005962.3830879107</v>
      </c>
      <c r="AS65" s="70">
        <f t="shared" si="299"/>
        <v>5100558.7227404732</v>
      </c>
      <c r="AT65" s="70">
        <f t="shared" si="299"/>
        <v>5159136.4600854088</v>
      </c>
      <c r="AU65" s="70">
        <f t="shared" si="299"/>
        <v>5214785.3105630977</v>
      </c>
      <c r="AV65" s="70">
        <f t="shared" si="299"/>
        <v>5267651.7185168965</v>
      </c>
      <c r="AW65" s="70">
        <f t="shared" si="299"/>
        <v>5317874.8060730062</v>
      </c>
      <c r="AX65" s="70">
        <f t="shared" si="299"/>
        <v>5365586.7392513081</v>
      </c>
      <c r="AY65" s="70">
        <f t="shared" si="299"/>
        <v>5385913.0757707004</v>
      </c>
      <c r="AZ65" s="70">
        <f t="shared" si="299"/>
        <v>5428973.0954641253</v>
      </c>
      <c r="BA65" s="70">
        <f t="shared" si="299"/>
        <v>5469880.1141728722</v>
      </c>
      <c r="BB65" s="70">
        <f t="shared" si="299"/>
        <v>5508741.781946186</v>
      </c>
      <c r="BC65" s="70">
        <f t="shared" si="299"/>
        <v>5545660.366330836</v>
      </c>
      <c r="BD65" s="70">
        <f t="shared" si="299"/>
        <v>5580733.0214962466</v>
      </c>
      <c r="BE65" s="70">
        <f t="shared" si="299"/>
        <v>5519100.74972839</v>
      </c>
      <c r="BF65" s="70">
        <f t="shared" si="299"/>
        <v>5550753.821015181</v>
      </c>
      <c r="BG65" s="70">
        <f t="shared" si="299"/>
        <v>5580824.2387376241</v>
      </c>
      <c r="BH65" s="70">
        <f t="shared" si="299"/>
        <v>5609391.1355739543</v>
      </c>
      <c r="BI65" s="70">
        <f t="shared" si="299"/>
        <v>5636529.6875684569</v>
      </c>
      <c r="BJ65" s="70">
        <f t="shared" si="299"/>
        <v>5662311.311963249</v>
      </c>
      <c r="BK65" s="70">
        <f t="shared" si="299"/>
        <v>5686803.855138286</v>
      </c>
      <c r="BL65" s="70">
        <f t="shared" si="299"/>
        <v>5710071.7711545844</v>
      </c>
      <c r="BM65" s="70">
        <f t="shared" si="299"/>
        <v>5732176.2913700584</v>
      </c>
      <c r="BN65" s="70">
        <f t="shared" si="299"/>
        <v>5753175.5855747592</v>
      </c>
      <c r="BO65" s="70">
        <f t="shared" si="299"/>
        <v>5773124.9150692374</v>
      </c>
      <c r="BP65" s="70">
        <f t="shared" si="299"/>
        <v>5792076.7780889766</v>
      </c>
      <c r="BQ65" s="61">
        <f t="shared" si="97"/>
        <v>230875934.1793454</v>
      </c>
      <c r="BR65" s="171" t="s">
        <v>1</v>
      </c>
      <c r="BS65" s="172"/>
      <c r="BT65" s="172">
        <f>SUM(G65:R65)</f>
        <v>5862577.8912051748</v>
      </c>
      <c r="BU65" s="172">
        <f>SUM(T65:AE65)</f>
        <v>38600580.634588107</v>
      </c>
      <c r="BV65" s="172">
        <f>SUM(AG65:AR65)</f>
        <v>54060940.300158218</v>
      </c>
      <c r="BW65" s="172">
        <f>SUM(AS65:BD65)</f>
        <v>64345495.212411143</v>
      </c>
      <c r="BX65" s="172">
        <f>SUM(BE65:BP65)</f>
        <v>68006340.140982762</v>
      </c>
      <c r="BY65" s="71">
        <f>BQ65</f>
        <v>230875934.1793454</v>
      </c>
    </row>
    <row r="66" spans="2:78" s="52" customFormat="1" ht="15.75" customHeight="1" x14ac:dyDescent="0.3">
      <c r="B66" s="17"/>
      <c r="C66" s="17"/>
      <c r="D66" s="2"/>
      <c r="F66" s="50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21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156"/>
      <c r="BS66" s="173"/>
      <c r="BT66" s="164"/>
      <c r="BU66" s="164"/>
      <c r="BV66" s="164"/>
      <c r="BW66" s="164"/>
      <c r="BX66" s="164"/>
      <c r="BY66" s="53"/>
      <c r="BZ66" s="17"/>
    </row>
    <row r="67" spans="2:78" s="107" customFormat="1" x14ac:dyDescent="0.3">
      <c r="D67" s="140" t="s">
        <v>145</v>
      </c>
      <c r="E67" s="108"/>
      <c r="F67" s="109"/>
      <c r="G67" s="110">
        <f t="shared" ref="G67:AN67" si="300">G65/G18</f>
        <v>-1.0916141370036292</v>
      </c>
      <c r="H67" s="110">
        <f t="shared" si="300"/>
        <v>-0.22121548353031886</v>
      </c>
      <c r="I67" s="110">
        <f t="shared" si="300"/>
        <v>-7.732084331565478E-2</v>
      </c>
      <c r="J67" s="110">
        <f t="shared" si="300"/>
        <v>-5.5632697871946539E-4</v>
      </c>
      <c r="K67" s="110">
        <f t="shared" si="300"/>
        <v>4.1182254454302077E-2</v>
      </c>
      <c r="L67" s="110">
        <f t="shared" ref="L67" si="301">L65/L18</f>
        <v>6.8766088094836503E-2</v>
      </c>
      <c r="M67" s="110">
        <f t="shared" si="300"/>
        <v>9.1437390847324801E-2</v>
      </c>
      <c r="N67" s="110">
        <f t="shared" si="300"/>
        <v>0.10838886943415642</v>
      </c>
      <c r="O67" s="110">
        <f t="shared" si="300"/>
        <v>0.11893353954801188</v>
      </c>
      <c r="P67" s="110">
        <f t="shared" si="300"/>
        <v>0.12960674090730645</v>
      </c>
      <c r="Q67" s="129">
        <f t="shared" si="300"/>
        <v>0.13607717817792392</v>
      </c>
      <c r="R67" s="110">
        <f t="shared" si="300"/>
        <v>0.14342559800009666</v>
      </c>
      <c r="S67" s="219"/>
      <c r="T67" s="110">
        <f t="shared" si="300"/>
        <v>0.18269678702602538</v>
      </c>
      <c r="U67" s="110">
        <f t="shared" si="300"/>
        <v>0.18856559611132187</v>
      </c>
      <c r="V67" s="110">
        <f t="shared" si="300"/>
        <v>0.19183412451617582</v>
      </c>
      <c r="W67" s="110">
        <f t="shared" si="300"/>
        <v>0.19630284672782425</v>
      </c>
      <c r="X67" s="110">
        <f t="shared" si="300"/>
        <v>0.20021857435817764</v>
      </c>
      <c r="Y67" s="110">
        <f t="shared" si="300"/>
        <v>0.20208266388492577</v>
      </c>
      <c r="Z67" s="110">
        <f t="shared" si="300"/>
        <v>0.20520086863130363</v>
      </c>
      <c r="AA67" s="110">
        <f t="shared" si="300"/>
        <v>0.20798432853802096</v>
      </c>
      <c r="AB67" s="110">
        <f t="shared" si="300"/>
        <v>0.21048108302618801</v>
      </c>
      <c r="AC67" s="110">
        <f t="shared" si="300"/>
        <v>0.21273044510988121</v>
      </c>
      <c r="AD67" s="110">
        <f t="shared" si="300"/>
        <v>0.21338027537036988</v>
      </c>
      <c r="AE67" s="110">
        <f t="shared" si="300"/>
        <v>0.21525694953519905</v>
      </c>
      <c r="AF67" s="110"/>
      <c r="AG67" s="110">
        <f t="shared" si="300"/>
        <v>0.16153577222260126</v>
      </c>
      <c r="AH67" s="110">
        <f t="shared" si="300"/>
        <v>0.21900431000953932</v>
      </c>
      <c r="AI67" s="110">
        <f t="shared" si="300"/>
        <v>0.22042509107054281</v>
      </c>
      <c r="AJ67" s="110">
        <f t="shared" si="300"/>
        <v>0.22172933264936853</v>
      </c>
      <c r="AK67" s="110">
        <f t="shared" si="300"/>
        <v>0.22292929187338831</v>
      </c>
      <c r="AL67" s="110">
        <f t="shared" si="300"/>
        <v>0.22403559529973635</v>
      </c>
      <c r="AM67" s="110">
        <f t="shared" si="300"/>
        <v>0.22505750163100929</v>
      </c>
      <c r="AN67" s="110">
        <f t="shared" si="300"/>
        <v>0.22481365332945227</v>
      </c>
      <c r="AO67" s="110">
        <f t="shared" ref="AO67:BP67" si="302">AO65/AO18</f>
        <v>0.22570421749258504</v>
      </c>
      <c r="AP67" s="110">
        <f t="shared" si="302"/>
        <v>0.22653088911464794</v>
      </c>
      <c r="AQ67" s="110">
        <f t="shared" si="302"/>
        <v>0.22729932984460202</v>
      </c>
      <c r="AR67" s="110">
        <f t="shared" si="302"/>
        <v>0.22801457395542057</v>
      </c>
      <c r="AS67" s="110">
        <f t="shared" si="302"/>
        <v>0.23016736021318515</v>
      </c>
      <c r="AT67" s="110">
        <f t="shared" si="302"/>
        <v>0.23077622566518469</v>
      </c>
      <c r="AU67" s="110">
        <f t="shared" si="302"/>
        <v>0.23134487219978167</v>
      </c>
      <c r="AV67" s="110">
        <f t="shared" si="302"/>
        <v>0.23187648030968469</v>
      </c>
      <c r="AW67" s="110">
        <f t="shared" si="302"/>
        <v>0.23237392068849241</v>
      </c>
      <c r="AX67" s="110">
        <f t="shared" si="302"/>
        <v>0.23283979093538032</v>
      </c>
      <c r="AY67" s="110">
        <f t="shared" si="302"/>
        <v>0.23219864177125488</v>
      </c>
      <c r="AZ67" s="110">
        <f t="shared" si="302"/>
        <v>0.23261485780502925</v>
      </c>
      <c r="BA67" s="110">
        <f t="shared" si="302"/>
        <v>0.23300554621469977</v>
      </c>
      <c r="BB67" s="110">
        <f t="shared" si="302"/>
        <v>0.23337251714771928</v>
      </c>
      <c r="BC67" s="110">
        <f t="shared" si="302"/>
        <v>0.23371742624320146</v>
      </c>
      <c r="BD67" s="110">
        <f t="shared" si="302"/>
        <v>0.23404179059842012</v>
      </c>
      <c r="BE67" s="110">
        <f t="shared" si="302"/>
        <v>0.23038345719896999</v>
      </c>
      <c r="BF67" s="110">
        <f t="shared" si="302"/>
        <v>0.23068818693738083</v>
      </c>
      <c r="BG67" s="110">
        <f t="shared" si="302"/>
        <v>0.23097521377603669</v>
      </c>
      <c r="BH67" s="110">
        <f t="shared" si="302"/>
        <v>0.23124569096780867</v>
      </c>
      <c r="BI67" s="110">
        <f t="shared" si="302"/>
        <v>0.23150068364021822</v>
      </c>
      <c r="BJ67" s="110">
        <f t="shared" si="302"/>
        <v>0.23174117686502912</v>
      </c>
      <c r="BK67" s="110">
        <f t="shared" si="302"/>
        <v>0.23196808285259293</v>
      </c>
      <c r="BL67" s="110">
        <f t="shared" si="302"/>
        <v>0.23218224738034493</v>
      </c>
      <c r="BM67" s="110">
        <f t="shared" si="302"/>
        <v>0.23238445554945147</v>
      </c>
      <c r="BN67" s="110">
        <f t="shared" si="302"/>
        <v>0.23257543695065835</v>
      </c>
      <c r="BO67" s="110">
        <f t="shared" si="302"/>
        <v>0.23275587030936662</v>
      </c>
      <c r="BP67" s="110">
        <f t="shared" si="302"/>
        <v>0.23292638767062626</v>
      </c>
      <c r="BQ67" s="113">
        <f t="shared" si="97"/>
        <v>10.070581289854463</v>
      </c>
      <c r="BR67" s="174" t="s">
        <v>145</v>
      </c>
      <c r="BS67" s="175"/>
      <c r="BT67" s="176"/>
      <c r="BU67" s="176"/>
      <c r="BV67" s="176"/>
      <c r="BW67" s="176"/>
      <c r="BX67" s="176"/>
      <c r="BY67" s="111"/>
    </row>
    <row r="68" spans="2:78" s="107" customFormat="1" x14ac:dyDescent="0.3">
      <c r="D68" s="108"/>
      <c r="F68" s="112"/>
      <c r="Q68" s="125"/>
      <c r="S68" s="198"/>
      <c r="Y68" s="108"/>
      <c r="AR68" s="113"/>
      <c r="AS68" s="113"/>
      <c r="AT68" s="113"/>
      <c r="AU68" s="113"/>
      <c r="AV68" s="113"/>
      <c r="AW68" s="113"/>
      <c r="AX68" s="113"/>
      <c r="AY68" s="113"/>
      <c r="AZ68" s="113"/>
      <c r="BA68" s="113"/>
      <c r="BB68" s="113"/>
      <c r="BC68" s="113"/>
      <c r="BD68" s="113"/>
      <c r="BE68" s="113"/>
      <c r="BF68" s="113"/>
      <c r="BG68" s="113"/>
      <c r="BH68" s="113"/>
      <c r="BI68" s="113"/>
      <c r="BJ68" s="113"/>
      <c r="BK68" s="113"/>
      <c r="BL68" s="113"/>
      <c r="BM68" s="113"/>
      <c r="BN68" s="113"/>
      <c r="BO68" s="113"/>
      <c r="BP68" s="113"/>
      <c r="BQ68" s="113">
        <f t="shared" si="97"/>
        <v>0</v>
      </c>
      <c r="BR68" s="175"/>
      <c r="BS68" s="175"/>
      <c r="BT68" s="176"/>
      <c r="BU68" s="176"/>
      <c r="BV68" s="176"/>
      <c r="BW68" s="176"/>
      <c r="BX68" s="176"/>
      <c r="BY68" s="111"/>
    </row>
    <row r="69" spans="2:78" s="107" customFormat="1" x14ac:dyDescent="0.3">
      <c r="C69" s="124" t="s">
        <v>147</v>
      </c>
      <c r="D69" s="108"/>
      <c r="E69" s="108" t="s">
        <v>101</v>
      </c>
      <c r="F69" s="109">
        <f>F65*0.5</f>
        <v>-3</v>
      </c>
      <c r="G69" s="114">
        <f>G65/2</f>
        <v>-711390.69464</v>
      </c>
      <c r="H69" s="114">
        <f t="shared" ref="H69:BP69" si="303">H65/2</f>
        <v>-281118.32813484897</v>
      </c>
      <c r="I69" s="114">
        <f t="shared" si="303"/>
        <v>-143734.57987244916</v>
      </c>
      <c r="J69" s="119">
        <f t="shared" si="303"/>
        <v>-1345.0190231691813</v>
      </c>
      <c r="K69" s="119">
        <f t="shared" si="303"/>
        <v>121425.06378364691</v>
      </c>
      <c r="L69" s="119">
        <f t="shared" ref="L69" si="304">L65/2</f>
        <v>237431.6424501224</v>
      </c>
      <c r="M69" s="119">
        <f>M65/2</f>
        <v>359512.89218327322</v>
      </c>
      <c r="N69" s="119">
        <f t="shared" ref="N69" si="305">N65/2</f>
        <v>475490.07942976733</v>
      </c>
      <c r="O69" s="119">
        <f t="shared" si="303"/>
        <v>573168.40731393732</v>
      </c>
      <c r="P69" s="119">
        <f t="shared" si="303"/>
        <v>677837.81880389806</v>
      </c>
      <c r="Q69" s="126">
        <f t="shared" si="303"/>
        <v>764773.75971935946</v>
      </c>
      <c r="R69" s="119">
        <f t="shared" si="303"/>
        <v>859237.90358905005</v>
      </c>
      <c r="S69" s="220">
        <f>SUM(F69:R69)</f>
        <v>2931285.9456025874</v>
      </c>
      <c r="T69" s="119">
        <f t="shared" si="303"/>
        <v>1158840.6653054147</v>
      </c>
      <c r="U69" s="119">
        <f t="shared" si="303"/>
        <v>1259148.7804436227</v>
      </c>
      <c r="V69" s="119">
        <f t="shared" si="303"/>
        <v>1341941.4898249204</v>
      </c>
      <c r="W69" s="119">
        <f t="shared" si="303"/>
        <v>1432469.5637371524</v>
      </c>
      <c r="X69" s="119">
        <f t="shared" si="303"/>
        <v>1518471.2339537728</v>
      </c>
      <c r="Y69" s="119">
        <f t="shared" si="303"/>
        <v>1587672.820659562</v>
      </c>
      <c r="Z69" s="119">
        <f t="shared" si="303"/>
        <v>1665289.3280300621</v>
      </c>
      <c r="AA69" s="119">
        <f t="shared" si="303"/>
        <v>1739025.0100320368</v>
      </c>
      <c r="AB69" s="128">
        <f t="shared" si="303"/>
        <v>1809073.9079339134</v>
      </c>
      <c r="AC69" s="119">
        <f t="shared" si="303"/>
        <v>1875620.3609406974</v>
      </c>
      <c r="AD69" s="119">
        <f t="shared" si="303"/>
        <v>1926339.4912971382</v>
      </c>
      <c r="AE69" s="119">
        <f t="shared" si="303"/>
        <v>1986397.6651357615</v>
      </c>
      <c r="AF69" s="119"/>
      <c r="AG69" s="119">
        <f t="shared" si="303"/>
        <v>1521394.9152824488</v>
      </c>
      <c r="AH69" s="119">
        <f t="shared" si="303"/>
        <v>2102241.4171718103</v>
      </c>
      <c r="AI69" s="119">
        <f t="shared" si="303"/>
        <v>2153733.7939666966</v>
      </c>
      <c r="AJ69" s="119">
        <f t="shared" si="303"/>
        <v>2202651.5519218394</v>
      </c>
      <c r="AK69" s="119">
        <f t="shared" si="303"/>
        <v>2249123.4219792252</v>
      </c>
      <c r="AL69" s="119">
        <f t="shared" si="303"/>
        <v>2293271.6985337422</v>
      </c>
      <c r="AM69" s="119">
        <f t="shared" si="303"/>
        <v>2335212.5612605345</v>
      </c>
      <c r="AN69" s="119">
        <f t="shared" si="303"/>
        <v>2362556.3808509866</v>
      </c>
      <c r="AO69" s="119">
        <f t="shared" si="303"/>
        <v>2400408.0094619137</v>
      </c>
      <c r="AP69" s="119">
        <f t="shared" si="303"/>
        <v>2436367.0566422977</v>
      </c>
      <c r="AQ69" s="119">
        <f t="shared" si="303"/>
        <v>2470528.1514636604</v>
      </c>
      <c r="AR69" s="119">
        <f t="shared" si="303"/>
        <v>2502981.1915439554</v>
      </c>
      <c r="AS69" s="119">
        <f t="shared" si="303"/>
        <v>2550279.3613702366</v>
      </c>
      <c r="AT69" s="119">
        <f t="shared" si="303"/>
        <v>2579568.2300427044</v>
      </c>
      <c r="AU69" s="119">
        <f t="shared" si="303"/>
        <v>2607392.6552815489</v>
      </c>
      <c r="AV69" s="119">
        <f t="shared" si="303"/>
        <v>2633825.8592584482</v>
      </c>
      <c r="AW69" s="119">
        <f t="shared" si="303"/>
        <v>2658937.4030365031</v>
      </c>
      <c r="AX69" s="119">
        <f t="shared" si="303"/>
        <v>2682793.3696256541</v>
      </c>
      <c r="AY69" s="119">
        <f t="shared" si="303"/>
        <v>2692956.5378853502</v>
      </c>
      <c r="AZ69" s="119">
        <f t="shared" si="303"/>
        <v>2714486.5477320626</v>
      </c>
      <c r="BA69" s="119">
        <f t="shared" si="303"/>
        <v>2734940.0570864361</v>
      </c>
      <c r="BB69" s="119">
        <f t="shared" si="303"/>
        <v>2754370.890973093</v>
      </c>
      <c r="BC69" s="119">
        <f t="shared" si="303"/>
        <v>2772830.183165418</v>
      </c>
      <c r="BD69" s="119">
        <f t="shared" si="303"/>
        <v>2790366.5107481233</v>
      </c>
      <c r="BE69" s="119">
        <f t="shared" si="303"/>
        <v>2759550.374864195</v>
      </c>
      <c r="BF69" s="119">
        <f t="shared" si="303"/>
        <v>2775376.9105075905</v>
      </c>
      <c r="BG69" s="119">
        <f t="shared" si="303"/>
        <v>2790412.1193688121</v>
      </c>
      <c r="BH69" s="119">
        <f t="shared" si="303"/>
        <v>2804695.5677869772</v>
      </c>
      <c r="BI69" s="119">
        <f t="shared" si="303"/>
        <v>2818264.8437842284</v>
      </c>
      <c r="BJ69" s="119">
        <f t="shared" si="303"/>
        <v>2831155.6559816245</v>
      </c>
      <c r="BK69" s="119">
        <f t="shared" si="303"/>
        <v>2843401.927569143</v>
      </c>
      <c r="BL69" s="119">
        <f t="shared" si="303"/>
        <v>2855035.8855772922</v>
      </c>
      <c r="BM69" s="119">
        <f t="shared" si="303"/>
        <v>2866088.1456850292</v>
      </c>
      <c r="BN69" s="119">
        <f t="shared" si="303"/>
        <v>2876587.7927873796</v>
      </c>
      <c r="BO69" s="119">
        <f t="shared" si="303"/>
        <v>2886562.4575346187</v>
      </c>
      <c r="BP69" s="119">
        <f t="shared" si="303"/>
        <v>2896038.3890444883</v>
      </c>
      <c r="BQ69" s="113">
        <f t="shared" si="97"/>
        <v>115437967.0896727</v>
      </c>
      <c r="BR69" s="175"/>
      <c r="BS69" s="175" t="s">
        <v>101</v>
      </c>
      <c r="BT69" s="176">
        <f>BT65*0.5</f>
        <v>2931288.9456025874</v>
      </c>
      <c r="BU69" s="176">
        <f>BU65*0.5</f>
        <v>19300290.317294054</v>
      </c>
      <c r="BV69" s="176">
        <f>BV65*0.5</f>
        <v>27030470.150079109</v>
      </c>
      <c r="BW69" s="176">
        <f>BW65*0.5</f>
        <v>32172747.606205571</v>
      </c>
      <c r="BX69" s="176">
        <f>BX65*0.5</f>
        <v>34003170.070491381</v>
      </c>
      <c r="BY69" s="111">
        <f>SUM(BT69:BX69)</f>
        <v>115437967.08967271</v>
      </c>
    </row>
    <row r="70" spans="2:78" s="107" customFormat="1" x14ac:dyDescent="0.3">
      <c r="C70" s="124" t="s">
        <v>146</v>
      </c>
      <c r="D70" s="108"/>
      <c r="E70" s="108" t="s">
        <v>6</v>
      </c>
      <c r="F70" s="109">
        <f>F65*0.5</f>
        <v>-3</v>
      </c>
      <c r="G70" s="114">
        <f>G65/2</f>
        <v>-711390.69464</v>
      </c>
      <c r="H70" s="114">
        <f t="shared" ref="H70:BP70" si="306">H65/2</f>
        <v>-281118.32813484897</v>
      </c>
      <c r="I70" s="114">
        <f t="shared" si="306"/>
        <v>-143734.57987244916</v>
      </c>
      <c r="J70" s="119">
        <f t="shared" si="306"/>
        <v>-1345.0190231691813</v>
      </c>
      <c r="K70" s="119">
        <f t="shared" si="306"/>
        <v>121425.06378364691</v>
      </c>
      <c r="L70" s="119">
        <f t="shared" ref="L70" si="307">L65/2</f>
        <v>237431.6424501224</v>
      </c>
      <c r="M70" s="119">
        <f t="shared" si="306"/>
        <v>359512.89218327322</v>
      </c>
      <c r="N70" s="119">
        <f t="shared" ref="N70" si="308">N65/2</f>
        <v>475490.07942976733</v>
      </c>
      <c r="O70" s="119">
        <f t="shared" si="306"/>
        <v>573168.40731393732</v>
      </c>
      <c r="P70" s="119">
        <f t="shared" si="306"/>
        <v>677837.81880389806</v>
      </c>
      <c r="Q70" s="127">
        <f t="shared" si="306"/>
        <v>764773.75971935946</v>
      </c>
      <c r="R70" s="119">
        <f t="shared" si="306"/>
        <v>859237.90358905005</v>
      </c>
      <c r="S70" s="220">
        <f>SUM(F70:R70)</f>
        <v>2931285.9456025874</v>
      </c>
      <c r="T70" s="119">
        <f t="shared" si="306"/>
        <v>1158840.6653054147</v>
      </c>
      <c r="U70" s="119">
        <f t="shared" si="306"/>
        <v>1259148.7804436227</v>
      </c>
      <c r="V70" s="119">
        <f t="shared" si="306"/>
        <v>1341941.4898249204</v>
      </c>
      <c r="W70" s="119">
        <f t="shared" si="306"/>
        <v>1432469.5637371524</v>
      </c>
      <c r="X70" s="119">
        <f t="shared" si="306"/>
        <v>1518471.2339537728</v>
      </c>
      <c r="Y70" s="119">
        <f t="shared" si="306"/>
        <v>1587672.820659562</v>
      </c>
      <c r="Z70" s="119">
        <f t="shared" si="306"/>
        <v>1665289.3280300621</v>
      </c>
      <c r="AA70" s="119">
        <f t="shared" si="306"/>
        <v>1739025.0100320368</v>
      </c>
      <c r="AB70" s="128">
        <f t="shared" si="306"/>
        <v>1809073.9079339134</v>
      </c>
      <c r="AC70" s="119">
        <f t="shared" si="306"/>
        <v>1875620.3609406974</v>
      </c>
      <c r="AD70" s="119">
        <f t="shared" si="306"/>
        <v>1926339.4912971382</v>
      </c>
      <c r="AE70" s="119">
        <f t="shared" si="306"/>
        <v>1986397.6651357615</v>
      </c>
      <c r="AF70" s="119"/>
      <c r="AG70" s="119">
        <f t="shared" si="306"/>
        <v>1521394.9152824488</v>
      </c>
      <c r="AH70" s="119">
        <f t="shared" si="306"/>
        <v>2102241.4171718103</v>
      </c>
      <c r="AI70" s="119">
        <f t="shared" si="306"/>
        <v>2153733.7939666966</v>
      </c>
      <c r="AJ70" s="119">
        <f t="shared" si="306"/>
        <v>2202651.5519218394</v>
      </c>
      <c r="AK70" s="119">
        <f t="shared" si="306"/>
        <v>2249123.4219792252</v>
      </c>
      <c r="AL70" s="119">
        <f t="shared" si="306"/>
        <v>2293271.6985337422</v>
      </c>
      <c r="AM70" s="119">
        <f t="shared" si="306"/>
        <v>2335212.5612605345</v>
      </c>
      <c r="AN70" s="119">
        <f t="shared" si="306"/>
        <v>2362556.3808509866</v>
      </c>
      <c r="AO70" s="119">
        <f t="shared" si="306"/>
        <v>2400408.0094619137</v>
      </c>
      <c r="AP70" s="119">
        <f t="shared" si="306"/>
        <v>2436367.0566422977</v>
      </c>
      <c r="AQ70" s="119">
        <f t="shared" si="306"/>
        <v>2470528.1514636604</v>
      </c>
      <c r="AR70" s="119">
        <f t="shared" si="306"/>
        <v>2502981.1915439554</v>
      </c>
      <c r="AS70" s="119">
        <f t="shared" si="306"/>
        <v>2550279.3613702366</v>
      </c>
      <c r="AT70" s="119">
        <f t="shared" si="306"/>
        <v>2579568.2300427044</v>
      </c>
      <c r="AU70" s="119">
        <f t="shared" si="306"/>
        <v>2607392.6552815489</v>
      </c>
      <c r="AV70" s="119">
        <f t="shared" si="306"/>
        <v>2633825.8592584482</v>
      </c>
      <c r="AW70" s="119">
        <f t="shared" si="306"/>
        <v>2658937.4030365031</v>
      </c>
      <c r="AX70" s="119">
        <f t="shared" si="306"/>
        <v>2682793.3696256541</v>
      </c>
      <c r="AY70" s="119">
        <f t="shared" si="306"/>
        <v>2692956.5378853502</v>
      </c>
      <c r="AZ70" s="119">
        <f t="shared" si="306"/>
        <v>2714486.5477320626</v>
      </c>
      <c r="BA70" s="119">
        <f t="shared" si="306"/>
        <v>2734940.0570864361</v>
      </c>
      <c r="BB70" s="119">
        <f t="shared" si="306"/>
        <v>2754370.890973093</v>
      </c>
      <c r="BC70" s="119">
        <f t="shared" si="306"/>
        <v>2772830.183165418</v>
      </c>
      <c r="BD70" s="119">
        <f t="shared" si="306"/>
        <v>2790366.5107481233</v>
      </c>
      <c r="BE70" s="119">
        <f t="shared" si="306"/>
        <v>2759550.374864195</v>
      </c>
      <c r="BF70" s="119">
        <f t="shared" si="306"/>
        <v>2775376.9105075905</v>
      </c>
      <c r="BG70" s="119">
        <f t="shared" si="306"/>
        <v>2790412.1193688121</v>
      </c>
      <c r="BH70" s="119">
        <f t="shared" si="306"/>
        <v>2804695.5677869772</v>
      </c>
      <c r="BI70" s="119">
        <f t="shared" si="306"/>
        <v>2818264.8437842284</v>
      </c>
      <c r="BJ70" s="119">
        <f t="shared" si="306"/>
        <v>2831155.6559816245</v>
      </c>
      <c r="BK70" s="119">
        <f t="shared" si="306"/>
        <v>2843401.927569143</v>
      </c>
      <c r="BL70" s="119">
        <f t="shared" si="306"/>
        <v>2855035.8855772922</v>
      </c>
      <c r="BM70" s="119">
        <f t="shared" si="306"/>
        <v>2866088.1456850292</v>
      </c>
      <c r="BN70" s="119">
        <f t="shared" si="306"/>
        <v>2876587.7927873796</v>
      </c>
      <c r="BO70" s="119">
        <f t="shared" si="306"/>
        <v>2886562.4575346187</v>
      </c>
      <c r="BP70" s="119">
        <f t="shared" si="306"/>
        <v>2896038.3890444883</v>
      </c>
      <c r="BQ70" s="113">
        <f t="shared" si="97"/>
        <v>115437967.0896727</v>
      </c>
      <c r="BR70" s="175"/>
      <c r="BS70" s="175" t="s">
        <v>6</v>
      </c>
      <c r="BT70" s="176">
        <f>BT65*0.5</f>
        <v>2931288.9456025874</v>
      </c>
      <c r="BU70" s="176">
        <f>BU65*0.5</f>
        <v>19300290.317294054</v>
      </c>
      <c r="BV70" s="176">
        <f>BV65*0.5</f>
        <v>27030470.150079109</v>
      </c>
      <c r="BW70" s="176">
        <f>BW65*0.5</f>
        <v>32172747.606205571</v>
      </c>
      <c r="BX70" s="176">
        <f>BX65*0.5</f>
        <v>34003170.070491381</v>
      </c>
      <c r="BY70" s="111">
        <f>SUM(BT70:BX70)</f>
        <v>115437967.08967271</v>
      </c>
    </row>
    <row r="71" spans="2:78" s="107" customFormat="1" x14ac:dyDescent="0.3">
      <c r="D71" s="108"/>
      <c r="E71" s="140" t="s">
        <v>141</v>
      </c>
      <c r="F71" s="116"/>
      <c r="G71" s="117">
        <f>G69+G70</f>
        <v>-1422781.38928</v>
      </c>
      <c r="H71" s="114">
        <f>G71+H69+H70</f>
        <v>-1985018.0455496979</v>
      </c>
      <c r="I71" s="114">
        <f t="shared" ref="I71:O71" si="309">H71+I69+I70</f>
        <v>-2272487.205294596</v>
      </c>
      <c r="J71" s="114">
        <f t="shared" si="309"/>
        <v>-2275177.2433409346</v>
      </c>
      <c r="K71" s="264">
        <f t="shared" si="309"/>
        <v>-2032327.1157736406</v>
      </c>
      <c r="L71" s="114">
        <f t="shared" si="309"/>
        <v>-1557463.8308733958</v>
      </c>
      <c r="M71" s="114">
        <f t="shared" si="309"/>
        <v>-838438.04650684947</v>
      </c>
      <c r="N71" s="114">
        <f t="shared" si="309"/>
        <v>112542.11235268519</v>
      </c>
      <c r="O71" s="114">
        <f t="shared" si="309"/>
        <v>1258878.9269805597</v>
      </c>
      <c r="P71" s="114">
        <f>O71+P69+P70</f>
        <v>2614554.5645883558</v>
      </c>
      <c r="Q71" s="127">
        <f>P71+Q69+Q70</f>
        <v>4144102.0840270752</v>
      </c>
      <c r="R71" s="119">
        <f t="shared" ref="R71:BP71" si="310">Q71+R70</f>
        <v>5003339.9876161255</v>
      </c>
      <c r="S71" s="220">
        <f>SUM(F71:R71)</f>
        <v>749724.79894568864</v>
      </c>
      <c r="T71" s="119">
        <f>R71+T70</f>
        <v>6162180.6529215407</v>
      </c>
      <c r="U71" s="119">
        <f t="shared" si="310"/>
        <v>7421329.4333651634</v>
      </c>
      <c r="V71" s="119">
        <f t="shared" si="310"/>
        <v>8763270.9231900834</v>
      </c>
      <c r="W71" s="119">
        <f t="shared" si="310"/>
        <v>10195740.486927235</v>
      </c>
      <c r="X71" s="119">
        <f t="shared" si="310"/>
        <v>11714211.720881008</v>
      </c>
      <c r="Y71" s="119">
        <f t="shared" si="310"/>
        <v>13301884.541540571</v>
      </c>
      <c r="Z71" s="119">
        <f t="shared" si="310"/>
        <v>14967173.869570633</v>
      </c>
      <c r="AA71" s="119">
        <f t="shared" si="310"/>
        <v>16706198.879602671</v>
      </c>
      <c r="AB71" s="128">
        <f t="shared" si="310"/>
        <v>18515272.787536584</v>
      </c>
      <c r="AC71" s="119">
        <f t="shared" si="310"/>
        <v>20390893.148477282</v>
      </c>
      <c r="AD71" s="119">
        <f t="shared" si="310"/>
        <v>22317232.639774419</v>
      </c>
      <c r="AE71" s="119">
        <f t="shared" si="310"/>
        <v>24303630.304910179</v>
      </c>
      <c r="AF71" s="119"/>
      <c r="AG71" s="119">
        <f>AE71+AG70</f>
        <v>25825025.220192626</v>
      </c>
      <c r="AH71" s="119">
        <f t="shared" si="310"/>
        <v>27927266.637364436</v>
      </c>
      <c r="AI71" s="119">
        <f t="shared" si="310"/>
        <v>30081000.431331132</v>
      </c>
      <c r="AJ71" s="119">
        <f t="shared" si="310"/>
        <v>32283651.983252972</v>
      </c>
      <c r="AK71" s="119">
        <f t="shared" si="310"/>
        <v>34532775.405232199</v>
      </c>
      <c r="AL71" s="119">
        <f t="shared" si="310"/>
        <v>36826047.103765942</v>
      </c>
      <c r="AM71" s="119">
        <f t="shared" si="310"/>
        <v>39161259.665026478</v>
      </c>
      <c r="AN71" s="119">
        <f t="shared" si="310"/>
        <v>41523816.045877464</v>
      </c>
      <c r="AO71" s="119">
        <f t="shared" si="310"/>
        <v>43924224.055339381</v>
      </c>
      <c r="AP71" s="119">
        <f t="shared" si="310"/>
        <v>46360591.111981675</v>
      </c>
      <c r="AQ71" s="119">
        <f t="shared" si="310"/>
        <v>48831119.263445333</v>
      </c>
      <c r="AR71" s="119">
        <f t="shared" si="310"/>
        <v>51334100.454989284</v>
      </c>
      <c r="AS71" s="119">
        <f t="shared" si="310"/>
        <v>53884379.81635952</v>
      </c>
      <c r="AT71" s="119">
        <f t="shared" si="310"/>
        <v>56463948.046402223</v>
      </c>
      <c r="AU71" s="119">
        <f t="shared" si="310"/>
        <v>59071340.701683775</v>
      </c>
      <c r="AV71" s="119">
        <f t="shared" si="310"/>
        <v>61705166.560942225</v>
      </c>
      <c r="AW71" s="119">
        <f t="shared" si="310"/>
        <v>64364103.96397873</v>
      </c>
      <c r="AX71" s="119">
        <f t="shared" si="310"/>
        <v>67046897.33360438</v>
      </c>
      <c r="AY71" s="119">
        <f t="shared" si="310"/>
        <v>69739853.871489733</v>
      </c>
      <c r="AZ71" s="119">
        <f t="shared" si="310"/>
        <v>72454340.419221789</v>
      </c>
      <c r="BA71" s="119">
        <f t="shared" si="310"/>
        <v>75189280.476308227</v>
      </c>
      <c r="BB71" s="119">
        <f t="shared" si="310"/>
        <v>77943651.367281318</v>
      </c>
      <c r="BC71" s="119">
        <f t="shared" si="310"/>
        <v>80716481.550446734</v>
      </c>
      <c r="BD71" s="119">
        <f t="shared" si="310"/>
        <v>83506848.061194852</v>
      </c>
      <c r="BE71" s="119">
        <f t="shared" si="310"/>
        <v>86266398.436059043</v>
      </c>
      <c r="BF71" s="119">
        <f t="shared" si="310"/>
        <v>89041775.346566632</v>
      </c>
      <c r="BG71" s="119">
        <f t="shared" si="310"/>
        <v>91832187.465935439</v>
      </c>
      <c r="BH71" s="119">
        <f t="shared" si="310"/>
        <v>94636883.033722416</v>
      </c>
      <c r="BI71" s="119">
        <f t="shared" si="310"/>
        <v>97455147.877506644</v>
      </c>
      <c r="BJ71" s="119">
        <f t="shared" si="310"/>
        <v>100286303.53348827</v>
      </c>
      <c r="BK71" s="119">
        <f t="shared" si="310"/>
        <v>103129705.46105741</v>
      </c>
      <c r="BL71" s="119">
        <f t="shared" si="310"/>
        <v>105984741.3466347</v>
      </c>
      <c r="BM71" s="119">
        <f t="shared" si="310"/>
        <v>108850829.49231973</v>
      </c>
      <c r="BN71" s="119">
        <f t="shared" si="310"/>
        <v>111727417.28510711</v>
      </c>
      <c r="BO71" s="119">
        <f>BN71+BO70</f>
        <v>114613979.74264172</v>
      </c>
      <c r="BP71" s="118">
        <f t="shared" si="310"/>
        <v>117510018.13168621</v>
      </c>
      <c r="BQ71" s="113"/>
      <c r="BR71" s="175"/>
      <c r="BS71" s="174" t="s">
        <v>141</v>
      </c>
      <c r="BT71" s="176">
        <f>R71</f>
        <v>5003339.9876161255</v>
      </c>
      <c r="BU71" s="176">
        <f>AE71</f>
        <v>24303630.304910179</v>
      </c>
      <c r="BV71" s="176">
        <f>AR71</f>
        <v>51334100.454989284</v>
      </c>
      <c r="BW71" s="176">
        <f>BD71</f>
        <v>83506848.061194852</v>
      </c>
      <c r="BX71" s="176">
        <f>BP71</f>
        <v>117510018.13168621</v>
      </c>
      <c r="BY71" s="120">
        <f>BX71</f>
        <v>117510018.13168621</v>
      </c>
    </row>
    <row r="72" spans="2:78" s="107" customFormat="1" x14ac:dyDescent="0.3">
      <c r="D72" s="108"/>
      <c r="E72" s="271" t="s">
        <v>191</v>
      </c>
      <c r="F72" s="121"/>
      <c r="G72" s="115">
        <f t="shared" ref="G72:Q72" si="311">((G71*$G$1)/365)*30</f>
        <v>-11986.445950783562</v>
      </c>
      <c r="H72" s="115">
        <f t="shared" si="311"/>
        <v>-16723.097233055672</v>
      </c>
      <c r="I72" s="115">
        <f t="shared" si="311"/>
        <v>-19144.926455564062</v>
      </c>
      <c r="J72" s="115">
        <f t="shared" si="311"/>
        <v>-19167.589104858558</v>
      </c>
      <c r="K72" s="115">
        <f t="shared" si="311"/>
        <v>-17121.659947956014</v>
      </c>
      <c r="L72" s="115">
        <f t="shared" si="311"/>
        <v>-13121.099397084088</v>
      </c>
      <c r="M72" s="115">
        <f t="shared" si="311"/>
        <v>-7063.5534055029093</v>
      </c>
      <c r="N72" s="115">
        <f t="shared" si="311"/>
        <v>948.12875475207375</v>
      </c>
      <c r="O72" s="115">
        <f t="shared" si="311"/>
        <v>10605.623836891016</v>
      </c>
      <c r="P72" s="115">
        <f t="shared" si="311"/>
        <v>22026.726811258064</v>
      </c>
      <c r="Q72" s="130">
        <f t="shared" si="311"/>
        <v>34912.640844885638</v>
      </c>
      <c r="R72" s="115"/>
      <c r="S72" s="214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115"/>
      <c r="AL72" s="115"/>
      <c r="AM72" s="115"/>
      <c r="AN72" s="115"/>
      <c r="AO72" s="115"/>
      <c r="AP72" s="115"/>
      <c r="AQ72" s="115"/>
      <c r="AR72" s="115"/>
      <c r="AS72" s="115"/>
      <c r="AT72" s="115"/>
      <c r="AU72" s="115"/>
      <c r="AV72" s="115"/>
      <c r="AW72" s="115"/>
      <c r="AX72" s="115"/>
      <c r="AY72" s="115"/>
      <c r="AZ72" s="115"/>
      <c r="BA72" s="115"/>
      <c r="BB72" s="115"/>
      <c r="BC72" s="115"/>
      <c r="BD72" s="115"/>
      <c r="BE72" s="115"/>
      <c r="BF72" s="115"/>
      <c r="BG72" s="115"/>
      <c r="BH72" s="115"/>
      <c r="BI72" s="115"/>
      <c r="BJ72" s="115"/>
      <c r="BK72" s="115"/>
      <c r="BL72" s="115"/>
      <c r="BM72" s="115"/>
      <c r="BN72" s="115"/>
      <c r="BO72" s="115"/>
      <c r="BP72" s="115"/>
      <c r="BQ72" s="113"/>
      <c r="BR72" s="175"/>
      <c r="BS72" s="177"/>
      <c r="BT72" s="175"/>
      <c r="BU72" s="175"/>
      <c r="BV72" s="175"/>
      <c r="BW72" s="175"/>
      <c r="BX72" s="175"/>
    </row>
    <row r="73" spans="2:78" s="107" customFormat="1" x14ac:dyDescent="0.3">
      <c r="D73" s="108"/>
      <c r="E73" s="271" t="s">
        <v>193</v>
      </c>
      <c r="F73" s="121"/>
      <c r="G73" s="115">
        <f>G71+G72</f>
        <v>-1434767.8352307836</v>
      </c>
      <c r="H73" s="115">
        <f t="shared" ref="H73:Q73" si="312">H71+H72</f>
        <v>-2001741.1427827536</v>
      </c>
      <c r="I73" s="115">
        <f t="shared" si="312"/>
        <v>-2291632.1317501599</v>
      </c>
      <c r="J73" s="115">
        <f t="shared" si="312"/>
        <v>-2294344.8324457933</v>
      </c>
      <c r="K73" s="264">
        <f t="shared" si="312"/>
        <v>-2049448.7757215966</v>
      </c>
      <c r="L73" s="115">
        <f t="shared" si="312"/>
        <v>-1570584.9302704798</v>
      </c>
      <c r="M73" s="115">
        <f t="shared" si="312"/>
        <v>-845501.59991235239</v>
      </c>
      <c r="N73" s="115">
        <f t="shared" si="312"/>
        <v>113490.24110743726</v>
      </c>
      <c r="O73" s="115">
        <f t="shared" si="312"/>
        <v>1269484.5508174507</v>
      </c>
      <c r="P73" s="115">
        <f t="shared" si="312"/>
        <v>2636581.291399614</v>
      </c>
      <c r="Q73" s="129">
        <f t="shared" si="312"/>
        <v>4179014.7248719609</v>
      </c>
      <c r="R73" s="115"/>
      <c r="S73" s="214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115"/>
      <c r="AK73" s="115"/>
      <c r="AL73" s="115"/>
      <c r="AM73" s="115"/>
      <c r="AN73" s="115"/>
      <c r="AO73" s="115"/>
      <c r="AP73" s="115"/>
      <c r="AQ73" s="115"/>
      <c r="AR73" s="115"/>
      <c r="AS73" s="115"/>
      <c r="AT73" s="115"/>
      <c r="AU73" s="115"/>
      <c r="AV73" s="115"/>
      <c r="AW73" s="115"/>
      <c r="AX73" s="115"/>
      <c r="AY73" s="115"/>
      <c r="AZ73" s="115"/>
      <c r="BA73" s="115"/>
      <c r="BB73" s="115"/>
      <c r="BC73" s="115"/>
      <c r="BD73" s="115"/>
      <c r="BE73" s="115"/>
      <c r="BF73" s="115"/>
      <c r="BG73" s="115"/>
      <c r="BH73" s="115"/>
      <c r="BI73" s="115"/>
      <c r="BJ73" s="115"/>
      <c r="BK73" s="115"/>
      <c r="BL73" s="115"/>
      <c r="BM73" s="115"/>
      <c r="BN73" s="115"/>
      <c r="BO73" s="115"/>
      <c r="BP73" s="115"/>
      <c r="BQ73" s="113"/>
      <c r="BR73" s="175"/>
      <c r="BS73" s="177"/>
      <c r="BT73" s="175"/>
      <c r="BU73" s="175"/>
      <c r="BV73" s="175"/>
      <c r="BW73" s="175"/>
      <c r="BX73" s="175"/>
    </row>
    <row r="74" spans="2:78" ht="14.45" customHeight="1" x14ac:dyDescent="0.3">
      <c r="B74" s="1"/>
      <c r="C74" s="1"/>
      <c r="D74" s="276" t="s">
        <v>153</v>
      </c>
      <c r="E74" s="276"/>
      <c r="F74" s="3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207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36"/>
      <c r="BR74" s="277" t="s">
        <v>153</v>
      </c>
      <c r="BS74" s="277"/>
      <c r="BT74" s="169"/>
      <c r="BU74" s="169"/>
      <c r="BV74" s="169"/>
      <c r="BW74" s="169"/>
      <c r="BX74" s="169"/>
      <c r="BY74" s="38"/>
      <c r="BZ74" s="1"/>
    </row>
    <row r="75" spans="2:78" x14ac:dyDescent="0.3">
      <c r="B75" s="1"/>
      <c r="C75" s="1"/>
      <c r="D75" s="276"/>
      <c r="E75" s="276"/>
      <c r="F75" s="3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207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18"/>
      <c r="BR75" s="277"/>
      <c r="BS75" s="277"/>
      <c r="BT75" s="169"/>
      <c r="BU75" s="169"/>
      <c r="BV75" s="169"/>
      <c r="BW75" s="169"/>
      <c r="BX75" s="169"/>
      <c r="BY75" s="38"/>
      <c r="BZ75" s="1"/>
    </row>
    <row r="76" spans="2:78" x14ac:dyDescent="0.3">
      <c r="B76" s="1"/>
      <c r="C76" s="1"/>
      <c r="D76" s="1"/>
      <c r="E76" s="2"/>
      <c r="F76" s="21"/>
      <c r="G76" s="22"/>
      <c r="H76" s="22"/>
      <c r="I76" s="22"/>
      <c r="J76" s="22"/>
      <c r="K76" s="22"/>
      <c r="L76" s="22"/>
      <c r="M76" s="48"/>
      <c r="N76" s="22"/>
      <c r="O76" s="22"/>
      <c r="P76" s="22"/>
      <c r="Q76" s="22"/>
      <c r="R76" s="22"/>
      <c r="S76" s="221"/>
      <c r="T76" s="22"/>
      <c r="U76" s="22"/>
      <c r="V76" s="22"/>
      <c r="W76" s="22"/>
      <c r="X76" s="22"/>
      <c r="Y76" s="22"/>
      <c r="Z76" s="22"/>
      <c r="AA76" s="22"/>
      <c r="AB76" s="48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36"/>
    </row>
    <row r="77" spans="2:78" x14ac:dyDescent="0.3">
      <c r="B77" s="1"/>
      <c r="C77" s="1"/>
      <c r="D77" s="1"/>
      <c r="E77" s="1"/>
      <c r="F77" s="2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T77" s="1"/>
      <c r="U77" s="1"/>
      <c r="V77" s="1"/>
      <c r="W77" s="1"/>
      <c r="X77" s="1"/>
      <c r="Y77" s="1"/>
      <c r="AA77" s="36"/>
    </row>
    <row r="79" spans="2:78" x14ac:dyDescent="0.3">
      <c r="R79" t="s">
        <v>189</v>
      </c>
      <c r="S79" s="266">
        <f>S22+S26+S30+S35+S36+S42+S51+S57</f>
        <v>61411913.051085271</v>
      </c>
    </row>
    <row r="80" spans="2:78" x14ac:dyDescent="0.3">
      <c r="R80" t="s">
        <v>190</v>
      </c>
      <c r="S80" s="268">
        <f>S61+S58+S53+S52+S50+S43</f>
        <v>10489788.584476281</v>
      </c>
    </row>
    <row r="81" spans="19:19" x14ac:dyDescent="0.3">
      <c r="S81" s="269">
        <f>S80+S79</f>
        <v>71901701.635561556</v>
      </c>
    </row>
  </sheetData>
  <mergeCells count="8">
    <mergeCell ref="D11:E11"/>
    <mergeCell ref="D38:E39"/>
    <mergeCell ref="D74:E75"/>
    <mergeCell ref="D23:E23"/>
    <mergeCell ref="BR23:BS23"/>
    <mergeCell ref="BR38:BS39"/>
    <mergeCell ref="BR74:BS75"/>
    <mergeCell ref="BR42:BS42"/>
  </mergeCells>
  <phoneticPr fontId="9" type="noConversion"/>
  <pageMargins left="0.7" right="0.7" top="0.75" bottom="0.75" header="0.3" footer="0.3"/>
  <pageSetup paperSize="8" scale="1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5D56-4052-4940-8892-4BDBC4A99696}">
  <dimension ref="A2:L69"/>
  <sheetViews>
    <sheetView topLeftCell="B1" zoomScale="50" zoomScaleNormal="50" workbookViewId="0">
      <selection activeCell="O13" sqref="O13"/>
    </sheetView>
  </sheetViews>
  <sheetFormatPr defaultRowHeight="18.75" x14ac:dyDescent="0.3"/>
  <cols>
    <col min="1" max="1" width="1.28515625" style="19" hidden="1" customWidth="1"/>
    <col min="2" max="2" width="16.140625" bestFit="1" customWidth="1"/>
    <col min="3" max="3" width="65.85546875" style="154" bestFit="1" customWidth="1"/>
    <col min="4" max="4" width="39.140625" style="154" bestFit="1" customWidth="1"/>
    <col min="5" max="5" width="18.42578125" style="154" bestFit="1" customWidth="1"/>
    <col min="6" max="6" width="16" style="154" bestFit="1" customWidth="1"/>
    <col min="7" max="10" width="17.42578125" style="154" bestFit="1" customWidth="1"/>
    <col min="11" max="11" width="19.140625" bestFit="1" customWidth="1"/>
  </cols>
  <sheetData>
    <row r="2" spans="1:12" x14ac:dyDescent="0.3">
      <c r="B2" s="49" t="s">
        <v>137</v>
      </c>
    </row>
    <row r="3" spans="1:12" x14ac:dyDescent="0.3">
      <c r="C3" s="155"/>
      <c r="D3" s="155"/>
      <c r="E3" s="155"/>
      <c r="F3" s="155"/>
      <c r="G3" s="155"/>
      <c r="H3" s="155"/>
      <c r="I3" s="155"/>
      <c r="J3" s="155"/>
      <c r="K3" s="1"/>
      <c r="L3" s="1"/>
    </row>
    <row r="4" spans="1:12" x14ac:dyDescent="0.3">
      <c r="A4" s="47" t="s">
        <v>106</v>
      </c>
      <c r="C4" s="155"/>
      <c r="D4" s="156" t="s">
        <v>156</v>
      </c>
      <c r="E4" s="17" t="s">
        <v>16</v>
      </c>
      <c r="F4" s="156" t="s">
        <v>95</v>
      </c>
      <c r="G4" s="156" t="s">
        <v>96</v>
      </c>
      <c r="H4" s="156" t="s">
        <v>97</v>
      </c>
      <c r="I4" s="156" t="s">
        <v>98</v>
      </c>
      <c r="J4" s="156" t="s">
        <v>99</v>
      </c>
      <c r="K4" s="17" t="s">
        <v>55</v>
      </c>
      <c r="L4" s="1"/>
    </row>
    <row r="5" spans="1:12" s="85" customFormat="1" x14ac:dyDescent="0.3">
      <c r="A5" s="86"/>
      <c r="C5" s="157"/>
      <c r="D5" s="158"/>
      <c r="E5" s="87"/>
      <c r="F5" s="159"/>
      <c r="G5" s="159"/>
      <c r="H5" s="158"/>
      <c r="I5" s="158"/>
      <c r="J5" s="158"/>
      <c r="K5" s="88"/>
    </row>
    <row r="6" spans="1:12" s="85" customFormat="1" x14ac:dyDescent="0.3">
      <c r="A6" s="86"/>
      <c r="C6" s="157"/>
      <c r="D6" s="158"/>
      <c r="E6" s="89"/>
      <c r="F6" s="159"/>
      <c r="G6" s="159"/>
      <c r="H6" s="158"/>
      <c r="I6" s="158"/>
      <c r="J6" s="158"/>
      <c r="K6" s="88"/>
    </row>
    <row r="7" spans="1:12" s="85" customFormat="1" x14ac:dyDescent="0.3">
      <c r="A7" s="86"/>
      <c r="C7" s="157"/>
      <c r="D7" s="158"/>
      <c r="E7" s="123"/>
      <c r="F7" s="159"/>
      <c r="G7" s="159"/>
      <c r="H7" s="158"/>
      <c r="I7" s="158"/>
      <c r="J7" s="158"/>
      <c r="K7" s="88"/>
    </row>
    <row r="8" spans="1:12" s="85" customFormat="1" x14ac:dyDescent="0.3">
      <c r="A8" s="90"/>
      <c r="C8" s="157"/>
      <c r="D8" s="157"/>
      <c r="E8" s="91"/>
      <c r="F8" s="159"/>
      <c r="G8" s="159"/>
      <c r="H8" s="160"/>
      <c r="I8" s="160"/>
      <c r="J8" s="160"/>
      <c r="K8" s="92"/>
    </row>
    <row r="9" spans="1:12" x14ac:dyDescent="0.3">
      <c r="A9" s="34"/>
      <c r="C9" s="155"/>
      <c r="D9" s="155"/>
      <c r="E9" s="17" t="s">
        <v>16</v>
      </c>
      <c r="F9" s="156" t="s">
        <v>95</v>
      </c>
      <c r="G9" s="156" t="s">
        <v>96</v>
      </c>
      <c r="H9" s="156" t="s">
        <v>97</v>
      </c>
      <c r="I9" s="156" t="s">
        <v>98</v>
      </c>
      <c r="J9" s="156" t="s">
        <v>99</v>
      </c>
      <c r="K9" s="37"/>
      <c r="L9" s="1"/>
    </row>
    <row r="10" spans="1:12" s="62" customFormat="1" x14ac:dyDescent="0.3">
      <c r="A10" s="64"/>
      <c r="C10" s="162" t="s">
        <v>121</v>
      </c>
      <c r="D10" s="163"/>
      <c r="E10" s="65">
        <v>1429206.3930434785</v>
      </c>
      <c r="F10" s="164">
        <v>90298017.641687661</v>
      </c>
      <c r="G10" s="164">
        <v>200399094.356399</v>
      </c>
      <c r="H10" s="164">
        <v>259893321.82171115</v>
      </c>
      <c r="I10" s="164">
        <v>292041627.79028809</v>
      </c>
      <c r="J10" s="164">
        <v>309413289.22167361</v>
      </c>
      <c r="K10" s="66"/>
    </row>
    <row r="11" spans="1:12" s="72" customFormat="1" x14ac:dyDescent="0.3">
      <c r="A11" s="73"/>
      <c r="C11" s="165" t="s">
        <v>119</v>
      </c>
      <c r="D11" s="165"/>
      <c r="E11" s="74">
        <v>56880</v>
      </c>
      <c r="F11" s="166">
        <v>682560</v>
      </c>
      <c r="G11" s="166">
        <v>682560</v>
      </c>
      <c r="H11" s="166">
        <v>682560</v>
      </c>
      <c r="I11" s="166">
        <v>682560</v>
      </c>
      <c r="J11" s="166">
        <v>682560</v>
      </c>
      <c r="K11" s="75"/>
    </row>
    <row r="12" spans="1:12" s="72" customFormat="1" x14ac:dyDescent="0.3">
      <c r="A12" s="73"/>
      <c r="C12" s="165" t="s">
        <v>120</v>
      </c>
      <c r="D12" s="165"/>
      <c r="E12" s="74">
        <v>900</v>
      </c>
      <c r="F12" s="166">
        <v>10800</v>
      </c>
      <c r="G12" s="166">
        <v>10800</v>
      </c>
      <c r="H12" s="166">
        <v>10800</v>
      </c>
      <c r="I12" s="166">
        <v>10800</v>
      </c>
      <c r="J12" s="166">
        <v>10800</v>
      </c>
      <c r="K12" s="75"/>
    </row>
    <row r="13" spans="1:12" s="76" customFormat="1" x14ac:dyDescent="0.3">
      <c r="A13" s="77"/>
      <c r="C13" s="165" t="s">
        <v>138</v>
      </c>
      <c r="D13" s="167"/>
      <c r="E13" s="78">
        <v>12176</v>
      </c>
      <c r="F13" s="166">
        <v>795541.28240450181</v>
      </c>
      <c r="G13" s="166">
        <v>1773056.8945280793</v>
      </c>
      <c r="H13" s="166">
        <v>2301267.3163867719</v>
      </c>
      <c r="I13" s="166">
        <v>2586691.1462466526</v>
      </c>
      <c r="J13" s="166">
        <v>2740922.7919707447</v>
      </c>
      <c r="K13" s="79"/>
    </row>
    <row r="14" spans="1:12" s="76" customFormat="1" x14ac:dyDescent="0.3">
      <c r="A14" s="77"/>
      <c r="C14" s="165" t="s">
        <v>143</v>
      </c>
      <c r="D14" s="167"/>
      <c r="E14" s="78">
        <v>39876.479999999996</v>
      </c>
      <c r="F14" s="166">
        <v>2605402.9268214079</v>
      </c>
      <c r="G14" s="166">
        <v>5806772.9790991331</v>
      </c>
      <c r="H14" s="166">
        <v>7536665.5811884664</v>
      </c>
      <c r="I14" s="166">
        <v>8471430.4993004035</v>
      </c>
      <c r="J14" s="166">
        <v>8976540.1523953304</v>
      </c>
      <c r="K14" s="79"/>
    </row>
    <row r="15" spans="1:12" s="76" customFormat="1" x14ac:dyDescent="0.3">
      <c r="A15" s="77"/>
      <c r="C15" s="165" t="s">
        <v>139</v>
      </c>
      <c r="D15" s="167"/>
      <c r="E15" s="78">
        <v>16000</v>
      </c>
      <c r="F15" s="166">
        <v>1045389.3329888327</v>
      </c>
      <c r="G15" s="166">
        <v>2329903.9349909057</v>
      </c>
      <c r="H15" s="166">
        <v>3024004.3579326826</v>
      </c>
      <c r="I15" s="166">
        <v>3399068.5233201743</v>
      </c>
      <c r="J15" s="166">
        <v>3601738.2286080737</v>
      </c>
      <c r="K15" s="79"/>
    </row>
    <row r="16" spans="1:12" s="62" customFormat="1" x14ac:dyDescent="0.3">
      <c r="A16" s="80">
        <v>100</v>
      </c>
      <c r="C16" s="162" t="s">
        <v>53</v>
      </c>
      <c r="D16" s="162"/>
      <c r="E16" s="81">
        <v>1303373.9130434785</v>
      </c>
      <c r="F16" s="164">
        <v>85158324.099472925</v>
      </c>
      <c r="G16" s="164">
        <v>189796000.5477809</v>
      </c>
      <c r="H16" s="164">
        <v>246338024.56620324</v>
      </c>
      <c r="I16" s="164">
        <v>276891077.62142086</v>
      </c>
      <c r="J16" s="164">
        <v>293400728.0486995</v>
      </c>
      <c r="K16" s="53">
        <v>1091584154.8835773</v>
      </c>
    </row>
    <row r="17" spans="1:12" s="72" customFormat="1" x14ac:dyDescent="0.3">
      <c r="A17" s="82">
        <v>100</v>
      </c>
      <c r="C17" s="165" t="s">
        <v>4</v>
      </c>
      <c r="D17" s="165"/>
      <c r="E17" s="83">
        <v>81.460869565217408</v>
      </c>
      <c r="F17" s="168">
        <v>81.460869565217408</v>
      </c>
      <c r="G17" s="168">
        <v>81.460869565217408</v>
      </c>
      <c r="H17" s="168">
        <v>81.460869565217408</v>
      </c>
      <c r="I17" s="168">
        <v>81.460869565217408</v>
      </c>
      <c r="J17" s="168">
        <v>81.460869565217408</v>
      </c>
      <c r="K17" s="84"/>
    </row>
    <row r="18" spans="1:12" x14ac:dyDescent="0.3">
      <c r="A18" s="35"/>
      <c r="C18" s="155"/>
      <c r="D18" s="155"/>
      <c r="E18" s="4"/>
      <c r="F18" s="169"/>
      <c r="G18" s="169"/>
      <c r="H18" s="169"/>
      <c r="I18" s="169"/>
      <c r="J18" s="169"/>
      <c r="K18" s="37"/>
      <c r="L18" s="1"/>
    </row>
    <row r="19" spans="1:12" s="55" customFormat="1" ht="14.45" customHeight="1" x14ac:dyDescent="0.3">
      <c r="A19" s="59"/>
      <c r="C19" s="143" t="s">
        <v>122</v>
      </c>
      <c r="D19" s="143"/>
      <c r="E19" s="60">
        <v>1390622.216236522</v>
      </c>
      <c r="F19" s="144">
        <v>59935330.286679283</v>
      </c>
      <c r="G19" s="144">
        <v>129432343.00937912</v>
      </c>
      <c r="H19" s="144">
        <v>167429603.27705786</v>
      </c>
      <c r="I19" s="144">
        <v>188269376.35497561</v>
      </c>
      <c r="J19" s="144">
        <v>199839517.46303028</v>
      </c>
      <c r="K19" s="61"/>
    </row>
    <row r="20" spans="1:12" s="93" customFormat="1" ht="17.100000000000001" customHeight="1" x14ac:dyDescent="0.3">
      <c r="A20" s="94">
        <v>50</v>
      </c>
      <c r="C20" s="145"/>
      <c r="D20" s="146" t="s">
        <v>155</v>
      </c>
      <c r="E20" s="99">
        <v>665116.12928000011</v>
      </c>
      <c r="F20" s="147">
        <v>43456581.671758346</v>
      </c>
      <c r="G20" s="147">
        <v>96853542.927212015</v>
      </c>
      <c r="H20" s="147">
        <v>125707129.59212735</v>
      </c>
      <c r="I20" s="147">
        <v>141298456.21176249</v>
      </c>
      <c r="J20" s="147">
        <v>149723386.83072537</v>
      </c>
      <c r="K20" s="39">
        <v>557039097.2335856</v>
      </c>
    </row>
    <row r="21" spans="1:12" s="93" customFormat="1" ht="27.6" customHeight="1" x14ac:dyDescent="0.3">
      <c r="A21" s="94"/>
      <c r="C21" s="277" t="s">
        <v>3</v>
      </c>
      <c r="D21" s="277"/>
      <c r="E21" s="99"/>
      <c r="F21" s="147"/>
      <c r="G21" s="147"/>
      <c r="H21" s="147"/>
      <c r="I21" s="147"/>
      <c r="J21" s="147"/>
      <c r="K21" s="39"/>
    </row>
    <row r="22" spans="1:12" s="93" customFormat="1" x14ac:dyDescent="0.3">
      <c r="A22" s="94"/>
      <c r="C22" s="145"/>
      <c r="D22" s="148" t="s">
        <v>154</v>
      </c>
      <c r="E22" s="96">
        <v>0.51030339231426125</v>
      </c>
      <c r="F22" s="149">
        <v>0.51</v>
      </c>
      <c r="G22" s="149">
        <v>0.51</v>
      </c>
      <c r="H22" s="149">
        <v>0.51</v>
      </c>
      <c r="I22" s="149">
        <v>0.51</v>
      </c>
      <c r="J22" s="149">
        <v>0.51</v>
      </c>
      <c r="K22" s="39"/>
    </row>
    <row r="23" spans="1:12" s="93" customFormat="1" x14ac:dyDescent="0.3">
      <c r="A23" s="97"/>
      <c r="C23" s="146"/>
      <c r="D23" s="146"/>
      <c r="F23" s="146"/>
      <c r="G23" s="146"/>
      <c r="H23" s="146"/>
      <c r="I23" s="146"/>
      <c r="J23" s="146"/>
    </row>
    <row r="24" spans="1:12" s="93" customFormat="1" x14ac:dyDescent="0.3">
      <c r="A24" s="98">
        <v>3</v>
      </c>
      <c r="C24" s="143" t="s">
        <v>110</v>
      </c>
      <c r="D24" s="146"/>
      <c r="E24" s="99">
        <v>25000</v>
      </c>
      <c r="F24" s="147">
        <v>450000</v>
      </c>
      <c r="G24" s="147">
        <v>1050000</v>
      </c>
      <c r="H24" s="147">
        <v>1650000</v>
      </c>
      <c r="I24" s="147">
        <v>2250000</v>
      </c>
      <c r="J24" s="147">
        <v>2850000</v>
      </c>
      <c r="K24" s="39">
        <v>8250000</v>
      </c>
    </row>
    <row r="25" spans="1:12" s="55" customFormat="1" x14ac:dyDescent="0.3">
      <c r="A25" s="59">
        <v>18</v>
      </c>
      <c r="C25" s="143" t="s">
        <v>111</v>
      </c>
      <c r="D25" s="150">
        <v>0.13</v>
      </c>
      <c r="E25" s="100">
        <v>195506.08695652176</v>
      </c>
      <c r="F25" s="144">
        <v>12773748.61492094</v>
      </c>
      <c r="G25" s="144">
        <v>28469400.082167137</v>
      </c>
      <c r="H25" s="144">
        <v>36950703.684930481</v>
      </c>
      <c r="I25" s="144">
        <v>41533661.643213131</v>
      </c>
      <c r="J25" s="144">
        <v>44010109.20730491</v>
      </c>
      <c r="K25" s="51">
        <v>163737623.23253658</v>
      </c>
    </row>
    <row r="26" spans="1:12" s="93" customFormat="1" x14ac:dyDescent="0.3">
      <c r="A26" s="94"/>
      <c r="C26" s="146" t="s">
        <v>136</v>
      </c>
      <c r="D26" s="151">
        <v>7.0000000000000007E-2</v>
      </c>
      <c r="E26" s="95">
        <v>91236.173913043502</v>
      </c>
      <c r="F26" s="147">
        <v>5961082.6869631056</v>
      </c>
      <c r="G26" s="147">
        <v>13285720.038344664</v>
      </c>
      <c r="H26" s="147">
        <v>17243661.719634227</v>
      </c>
      <c r="I26" s="147">
        <v>19382375.433499463</v>
      </c>
      <c r="J26" s="147">
        <v>20538050.963408966</v>
      </c>
      <c r="K26" s="51">
        <v>0</v>
      </c>
    </row>
    <row r="27" spans="1:12" s="93" customFormat="1" ht="37.5" x14ac:dyDescent="0.3">
      <c r="A27" s="94"/>
      <c r="C27" s="148" t="s">
        <v>151</v>
      </c>
      <c r="D27" s="152">
        <v>0.06</v>
      </c>
      <c r="E27" s="95">
        <v>78202.434782608703</v>
      </c>
      <c r="F27" s="147">
        <v>5109499.4459683755</v>
      </c>
      <c r="G27" s="147">
        <v>11387760.032866854</v>
      </c>
      <c r="H27" s="147">
        <v>14780281.473972194</v>
      </c>
      <c r="I27" s="147">
        <v>16613464.657285251</v>
      </c>
      <c r="J27" s="147">
        <v>17604043.682921965</v>
      </c>
      <c r="K27" s="51">
        <v>0</v>
      </c>
    </row>
    <row r="28" spans="1:12" s="55" customFormat="1" x14ac:dyDescent="0.3">
      <c r="A28" s="59"/>
      <c r="C28" s="143" t="s">
        <v>115</v>
      </c>
      <c r="D28" s="153">
        <v>9.5</v>
      </c>
      <c r="E28" s="100">
        <v>151000</v>
      </c>
      <c r="F28" s="144">
        <v>1812000</v>
      </c>
      <c r="G28" s="144">
        <v>1812000</v>
      </c>
      <c r="H28" s="144">
        <v>1812000</v>
      </c>
      <c r="I28" s="144">
        <v>1812000</v>
      </c>
      <c r="J28" s="144">
        <v>1812000</v>
      </c>
      <c r="K28" s="51">
        <v>0</v>
      </c>
    </row>
    <row r="29" spans="1:12" s="93" customFormat="1" x14ac:dyDescent="0.3">
      <c r="A29" s="94">
        <v>6.5</v>
      </c>
      <c r="C29" s="146" t="s">
        <v>112</v>
      </c>
      <c r="D29" s="153">
        <v>7.5</v>
      </c>
      <c r="E29" s="95">
        <v>118500</v>
      </c>
      <c r="F29" s="147">
        <v>1422000</v>
      </c>
      <c r="G29" s="147">
        <v>1422000</v>
      </c>
      <c r="H29" s="147">
        <v>1422000</v>
      </c>
      <c r="I29" s="147">
        <v>1422000</v>
      </c>
      <c r="J29" s="147">
        <v>1422000</v>
      </c>
      <c r="K29" s="39">
        <v>7110000</v>
      </c>
    </row>
    <row r="30" spans="1:12" s="93" customFormat="1" x14ac:dyDescent="0.3">
      <c r="A30" s="94"/>
      <c r="C30" s="146" t="s">
        <v>114</v>
      </c>
      <c r="D30" s="153">
        <v>2</v>
      </c>
      <c r="E30" s="95">
        <v>31600</v>
      </c>
      <c r="F30" s="147">
        <v>379200</v>
      </c>
      <c r="G30" s="147">
        <v>379200</v>
      </c>
      <c r="H30" s="147">
        <v>379200</v>
      </c>
      <c r="I30" s="147">
        <v>379200</v>
      </c>
      <c r="J30" s="147">
        <v>379200</v>
      </c>
      <c r="K30" s="39">
        <v>0</v>
      </c>
    </row>
    <row r="31" spans="1:12" s="93" customFormat="1" x14ac:dyDescent="0.3">
      <c r="A31" s="94"/>
      <c r="C31" s="146" t="s">
        <v>113</v>
      </c>
      <c r="D31" s="153">
        <v>4.5</v>
      </c>
      <c r="E31" s="104">
        <v>900</v>
      </c>
      <c r="F31" s="147">
        <v>10800</v>
      </c>
      <c r="G31" s="147">
        <v>10800</v>
      </c>
      <c r="H31" s="147">
        <v>10800</v>
      </c>
      <c r="I31" s="147">
        <v>10800</v>
      </c>
      <c r="J31" s="147">
        <v>10800</v>
      </c>
      <c r="K31" s="39">
        <v>0</v>
      </c>
    </row>
    <row r="32" spans="1:12" s="93" customFormat="1" x14ac:dyDescent="0.3">
      <c r="A32" s="94"/>
      <c r="C32" s="146"/>
      <c r="D32" s="153"/>
      <c r="F32" s="147"/>
      <c r="G32" s="147"/>
      <c r="H32" s="147"/>
      <c r="I32" s="147"/>
      <c r="J32" s="147"/>
      <c r="K32" s="39"/>
    </row>
    <row r="33" spans="1:12" s="93" customFormat="1" x14ac:dyDescent="0.3">
      <c r="A33" s="94">
        <v>21</v>
      </c>
      <c r="C33" s="146" t="s">
        <v>2</v>
      </c>
      <c r="D33" s="153">
        <v>0</v>
      </c>
      <c r="E33" s="95">
        <v>75000</v>
      </c>
      <c r="F33" s="147">
        <v>295000</v>
      </c>
      <c r="G33" s="147">
        <v>252000</v>
      </c>
      <c r="H33" s="147">
        <v>264600</v>
      </c>
      <c r="I33" s="147">
        <v>277830</v>
      </c>
      <c r="J33" s="147">
        <v>291721.5</v>
      </c>
      <c r="K33" s="39">
        <v>1381151.5</v>
      </c>
    </row>
    <row r="34" spans="1:12" s="93" customFormat="1" x14ac:dyDescent="0.3">
      <c r="A34" s="94"/>
      <c r="C34" s="146" t="s">
        <v>107</v>
      </c>
      <c r="D34" s="146"/>
      <c r="E34" s="95">
        <v>279000</v>
      </c>
      <c r="F34" s="147">
        <v>1148000</v>
      </c>
      <c r="G34" s="147">
        <v>995400</v>
      </c>
      <c r="H34" s="147">
        <v>1045170</v>
      </c>
      <c r="I34" s="147">
        <v>1097428.5</v>
      </c>
      <c r="J34" s="147">
        <v>1152299.925</v>
      </c>
      <c r="K34" s="39"/>
    </row>
    <row r="35" spans="1:12" x14ac:dyDescent="0.3">
      <c r="A35" s="35"/>
      <c r="C35" s="170" t="s">
        <v>148</v>
      </c>
      <c r="D35" s="178" t="s">
        <v>157</v>
      </c>
      <c r="E35" s="5"/>
      <c r="F35" s="169"/>
      <c r="G35" s="169"/>
      <c r="H35" s="169"/>
      <c r="I35" s="169"/>
      <c r="J35" s="169"/>
      <c r="K35" s="38"/>
      <c r="L35" s="1"/>
    </row>
    <row r="36" spans="1:12" ht="14.45" customHeight="1" x14ac:dyDescent="0.3">
      <c r="C36" s="278" t="s">
        <v>150</v>
      </c>
      <c r="D36" s="278"/>
      <c r="E36"/>
      <c r="F36" s="155"/>
      <c r="G36" s="155"/>
      <c r="H36" s="155"/>
      <c r="I36" s="155"/>
      <c r="J36" s="155"/>
    </row>
    <row r="37" spans="1:12" ht="27" customHeight="1" x14ac:dyDescent="0.3">
      <c r="A37" s="35"/>
      <c r="C37" s="278"/>
      <c r="D37" s="278"/>
      <c r="E37" s="5"/>
      <c r="F37" s="169"/>
      <c r="G37" s="169"/>
      <c r="H37" s="169"/>
      <c r="I37" s="169"/>
      <c r="J37" s="169"/>
      <c r="K37" s="38"/>
      <c r="L37" s="1"/>
    </row>
    <row r="38" spans="1:12" s="55" customFormat="1" x14ac:dyDescent="0.3">
      <c r="A38" s="57"/>
      <c r="C38" s="143" t="s">
        <v>142</v>
      </c>
      <c r="D38" s="143"/>
      <c r="E38" s="51">
        <v>739882.53913043474</v>
      </c>
      <c r="F38" s="144">
        <v>15279010.466981465</v>
      </c>
      <c r="G38" s="144">
        <v>25189453.181997012</v>
      </c>
      <c r="H38" s="144">
        <v>30686416.71406034</v>
      </c>
      <c r="I38" s="144">
        <v>33806022.692466527</v>
      </c>
      <c r="J38" s="144">
        <v>35648915.087225772</v>
      </c>
      <c r="K38" s="51">
        <v>140609818.14273113</v>
      </c>
    </row>
    <row r="39" spans="1:12" s="55" customFormat="1" x14ac:dyDescent="0.3">
      <c r="A39" s="57"/>
      <c r="C39" s="143"/>
      <c r="D39" s="143"/>
      <c r="E39" s="58"/>
      <c r="F39" s="143"/>
      <c r="G39" s="143"/>
      <c r="H39" s="143"/>
      <c r="I39" s="143"/>
      <c r="J39" s="143"/>
    </row>
    <row r="40" spans="1:12" s="93" customFormat="1" ht="32.450000000000003" customHeight="1" x14ac:dyDescent="0.3">
      <c r="A40" s="179">
        <v>7.5</v>
      </c>
      <c r="C40" s="279" t="s">
        <v>109</v>
      </c>
      <c r="D40" s="279"/>
      <c r="E40" s="95">
        <v>120000</v>
      </c>
      <c r="F40" s="144">
        <v>7840419.9974162448</v>
      </c>
      <c r="G40" s="144">
        <v>17474279.512431789</v>
      </c>
      <c r="H40" s="144">
        <v>22680032.684495121</v>
      </c>
      <c r="I40" s="144">
        <v>25493013.924901307</v>
      </c>
      <c r="J40" s="144">
        <v>27013036.714560553</v>
      </c>
      <c r="K40" s="39">
        <v>100500782.83380502</v>
      </c>
    </row>
    <row r="41" spans="1:12" s="93" customFormat="1" ht="15" x14ac:dyDescent="0.25">
      <c r="A41" s="94"/>
      <c r="C41" s="56"/>
      <c r="D41" s="101"/>
      <c r="E41" s="106">
        <v>1500</v>
      </c>
      <c r="F41" s="54"/>
      <c r="G41" s="54"/>
      <c r="H41" s="54"/>
      <c r="I41" s="54"/>
      <c r="J41" s="54"/>
      <c r="K41" s="54"/>
    </row>
    <row r="42" spans="1:12" s="93" customFormat="1" ht="15" x14ac:dyDescent="0.25">
      <c r="A42" s="94"/>
      <c r="C42" s="56"/>
      <c r="D42" s="101"/>
      <c r="E42" s="106"/>
      <c r="F42" s="54"/>
      <c r="G42" s="54"/>
      <c r="H42" s="54"/>
      <c r="I42" s="54"/>
      <c r="J42" s="54"/>
      <c r="K42" s="54"/>
    </row>
    <row r="43" spans="1:12" s="93" customFormat="1" ht="15" x14ac:dyDescent="0.25">
      <c r="A43" s="94"/>
      <c r="C43" s="56"/>
      <c r="D43" s="101"/>
      <c r="E43" s="106">
        <v>1500</v>
      </c>
      <c r="F43" s="54"/>
      <c r="G43" s="54"/>
      <c r="H43" s="54"/>
      <c r="I43" s="54"/>
      <c r="J43" s="54"/>
      <c r="K43" s="54"/>
    </row>
    <row r="44" spans="1:12" s="93" customFormat="1" ht="15" x14ac:dyDescent="0.25">
      <c r="A44" s="94"/>
      <c r="C44" s="56"/>
      <c r="D44" s="101"/>
      <c r="E44" s="106"/>
      <c r="F44" s="54"/>
      <c r="G44" s="54"/>
      <c r="H44" s="54"/>
      <c r="I44" s="54"/>
      <c r="J44" s="54"/>
      <c r="K44" s="54"/>
    </row>
    <row r="45" spans="1:12" s="93" customFormat="1" ht="15" x14ac:dyDescent="0.25">
      <c r="A45" s="94"/>
      <c r="C45" s="56"/>
      <c r="D45" s="101"/>
      <c r="E45" s="106"/>
      <c r="F45" s="54"/>
      <c r="G45" s="54"/>
      <c r="H45" s="54"/>
      <c r="I45" s="54"/>
      <c r="J45" s="54"/>
      <c r="K45" s="54"/>
    </row>
    <row r="46" spans="1:12" s="55" customFormat="1" x14ac:dyDescent="0.3">
      <c r="A46" s="59"/>
      <c r="C46" s="143"/>
      <c r="D46" s="143"/>
      <c r="E46" s="100">
        <v>177910.53913043477</v>
      </c>
      <c r="F46" s="144">
        <v>2134926.4695652178</v>
      </c>
      <c r="G46" s="144">
        <v>2134926.4695652178</v>
      </c>
      <c r="H46" s="144">
        <v>2134926.4695652178</v>
      </c>
      <c r="I46" s="144">
        <v>2134926.4695652178</v>
      </c>
      <c r="J46" s="144">
        <v>2134926.4695652178</v>
      </c>
      <c r="K46" s="180">
        <v>10674632.347826075</v>
      </c>
    </row>
    <row r="47" spans="1:12" s="55" customFormat="1" x14ac:dyDescent="0.3">
      <c r="A47" s="59"/>
      <c r="C47" s="143" t="s">
        <v>130</v>
      </c>
      <c r="D47" s="143" t="s">
        <v>140</v>
      </c>
      <c r="E47" s="100">
        <v>44472</v>
      </c>
      <c r="F47" s="144">
        <v>533664</v>
      </c>
      <c r="G47" s="144">
        <v>560347.19999999984</v>
      </c>
      <c r="H47" s="144">
        <v>588364.56000000006</v>
      </c>
      <c r="I47" s="144">
        <v>617782.78799999994</v>
      </c>
      <c r="J47" s="144">
        <v>648671.92740000028</v>
      </c>
      <c r="K47" s="54">
        <v>2948830.4753999994</v>
      </c>
    </row>
    <row r="48" spans="1:12" s="93" customFormat="1" x14ac:dyDescent="0.3">
      <c r="A48" s="94"/>
      <c r="C48" s="146"/>
      <c r="D48" s="146" t="s">
        <v>127</v>
      </c>
      <c r="E48" s="95">
        <v>34880</v>
      </c>
      <c r="F48" s="147">
        <v>418560</v>
      </c>
      <c r="G48" s="147">
        <v>439488</v>
      </c>
      <c r="H48" s="147">
        <v>461462.40000000008</v>
      </c>
      <c r="I48" s="147">
        <v>484535.52000000019</v>
      </c>
      <c r="J48" s="147">
        <v>508762.29600000009</v>
      </c>
      <c r="K48" s="54">
        <v>2312808.2159999991</v>
      </c>
    </row>
    <row r="49" spans="1:12" s="93" customFormat="1" x14ac:dyDescent="0.3">
      <c r="A49" s="94"/>
      <c r="C49" s="146"/>
      <c r="D49" s="146" t="s">
        <v>128</v>
      </c>
      <c r="E49" s="95">
        <v>1672</v>
      </c>
      <c r="F49" s="147">
        <v>20064</v>
      </c>
      <c r="G49" s="147">
        <v>21067.199999999997</v>
      </c>
      <c r="H49" s="147">
        <v>22120.560000000009</v>
      </c>
      <c r="I49" s="147">
        <v>23226.588</v>
      </c>
      <c r="J49" s="147">
        <v>24387.917400000002</v>
      </c>
      <c r="K49" s="54">
        <v>110866.26539999986</v>
      </c>
    </row>
    <row r="50" spans="1:12" s="93" customFormat="1" x14ac:dyDescent="0.3">
      <c r="A50" s="94"/>
      <c r="C50" s="146"/>
      <c r="D50" s="146" t="s">
        <v>129</v>
      </c>
      <c r="E50" s="95">
        <v>7920</v>
      </c>
      <c r="F50" s="147">
        <v>95040</v>
      </c>
      <c r="G50" s="147">
        <v>99792</v>
      </c>
      <c r="H50" s="147">
        <v>104781.60000000002</v>
      </c>
      <c r="I50" s="147">
        <v>110020.68000000001</v>
      </c>
      <c r="J50" s="147">
        <v>115521.71400000002</v>
      </c>
      <c r="K50" s="54">
        <v>525155.99399999972</v>
      </c>
    </row>
    <row r="51" spans="1:12" s="93" customFormat="1" x14ac:dyDescent="0.3">
      <c r="A51" s="94"/>
      <c r="C51" s="146"/>
      <c r="D51" s="146"/>
      <c r="E51" s="95"/>
      <c r="F51" s="147"/>
      <c r="G51" s="147"/>
      <c r="H51" s="147"/>
      <c r="I51" s="147"/>
      <c r="J51" s="147"/>
      <c r="K51" s="54"/>
    </row>
    <row r="52" spans="1:12" s="55" customFormat="1" x14ac:dyDescent="0.3">
      <c r="A52" s="59"/>
      <c r="C52" s="143" t="s">
        <v>132</v>
      </c>
      <c r="D52" s="143"/>
      <c r="E52" s="100">
        <v>47500</v>
      </c>
      <c r="F52" s="144">
        <v>570000</v>
      </c>
      <c r="G52" s="144">
        <v>609900</v>
      </c>
      <c r="H52" s="144">
        <v>652593.00000000012</v>
      </c>
      <c r="I52" s="144">
        <v>698274.50999999989</v>
      </c>
      <c r="J52" s="144">
        <v>747153.7257000003</v>
      </c>
      <c r="K52" s="54">
        <v>3277921.2357000019</v>
      </c>
    </row>
    <row r="53" spans="1:12" s="93" customFormat="1" x14ac:dyDescent="0.3">
      <c r="A53" s="94"/>
      <c r="C53" s="146" t="s">
        <v>134</v>
      </c>
      <c r="D53" s="146" t="s">
        <v>144</v>
      </c>
      <c r="E53" s="95">
        <v>11000</v>
      </c>
      <c r="F53" s="147">
        <v>132000</v>
      </c>
      <c r="G53" s="147">
        <v>141240</v>
      </c>
      <c r="H53" s="147">
        <v>151126.79999999999</v>
      </c>
      <c r="I53" s="147">
        <v>161705.67600000001</v>
      </c>
      <c r="J53" s="147">
        <v>173025.07332000002</v>
      </c>
      <c r="K53" s="54">
        <v>759097.54931999976</v>
      </c>
    </row>
    <row r="54" spans="1:12" s="93" customFormat="1" x14ac:dyDescent="0.3">
      <c r="A54" s="94"/>
      <c r="C54" s="146" t="s">
        <v>133</v>
      </c>
      <c r="D54" s="146" t="s">
        <v>133</v>
      </c>
      <c r="E54" s="95">
        <v>36500</v>
      </c>
      <c r="F54" s="147">
        <v>438000</v>
      </c>
      <c r="G54" s="147">
        <v>468660</v>
      </c>
      <c r="H54" s="147">
        <v>501466.19999999995</v>
      </c>
      <c r="I54" s="147">
        <v>536568.83400000003</v>
      </c>
      <c r="J54" s="147">
        <v>574128.6523800001</v>
      </c>
      <c r="K54" s="54">
        <v>2518823.6863800022</v>
      </c>
    </row>
    <row r="55" spans="1:12" s="55" customFormat="1" x14ac:dyDescent="0.3">
      <c r="A55" s="59"/>
      <c r="C55" s="143" t="s">
        <v>135</v>
      </c>
      <c r="D55" s="143"/>
      <c r="E55" s="100">
        <v>350000</v>
      </c>
      <c r="F55" s="147">
        <v>4200000</v>
      </c>
      <c r="G55" s="147">
        <v>4410000</v>
      </c>
      <c r="H55" s="147">
        <v>4630500</v>
      </c>
      <c r="I55" s="147">
        <v>4862025</v>
      </c>
      <c r="J55" s="147">
        <v>5105126.25</v>
      </c>
      <c r="K55" s="54">
        <v>23207651.25</v>
      </c>
    </row>
    <row r="56" spans="1:12" s="93" customFormat="1" x14ac:dyDescent="0.3">
      <c r="A56" s="94"/>
      <c r="C56" s="146"/>
      <c r="D56" s="146"/>
      <c r="E56" s="95">
        <v>310000</v>
      </c>
      <c r="F56" s="147"/>
      <c r="G56" s="147"/>
      <c r="H56" s="147"/>
      <c r="I56" s="147"/>
      <c r="J56" s="147"/>
      <c r="K56" s="54"/>
    </row>
    <row r="57" spans="1:12" s="93" customFormat="1" x14ac:dyDescent="0.3">
      <c r="A57" s="94"/>
      <c r="C57" s="146"/>
      <c r="D57" s="146"/>
      <c r="E57" s="95">
        <v>40000</v>
      </c>
      <c r="F57" s="147"/>
      <c r="G57" s="147"/>
      <c r="H57" s="147"/>
      <c r="I57" s="147"/>
      <c r="J57" s="147"/>
      <c r="K57" s="54"/>
    </row>
    <row r="58" spans="1:12" x14ac:dyDescent="0.3">
      <c r="A58" s="35"/>
      <c r="C58" s="139" t="s">
        <v>159</v>
      </c>
      <c r="D58" s="139"/>
      <c r="E58" s="4"/>
      <c r="F58" s="169"/>
      <c r="G58" s="169"/>
      <c r="H58" s="169"/>
      <c r="I58" s="169"/>
      <c r="J58" s="169"/>
      <c r="K58" s="38"/>
      <c r="L58" s="1"/>
    </row>
    <row r="59" spans="1:12" s="67" customFormat="1" ht="15.75" customHeight="1" x14ac:dyDescent="0.3">
      <c r="A59" s="69">
        <f>A17-A20-A40-A24-A25-A29-A33</f>
        <v>-6</v>
      </c>
      <c r="C59" s="171" t="s">
        <v>1</v>
      </c>
      <c r="D59" s="172"/>
      <c r="E59" s="70">
        <v>-701298.36232347821</v>
      </c>
      <c r="F59" s="172">
        <v>15083676.888026923</v>
      </c>
      <c r="G59" s="172">
        <v>45777298.165022887</v>
      </c>
      <c r="H59" s="172">
        <v>61777301.830592997</v>
      </c>
      <c r="I59" s="172">
        <v>69966228.742845938</v>
      </c>
      <c r="J59" s="172">
        <v>73924856.671417534</v>
      </c>
      <c r="K59" s="71">
        <v>266529356.29790631</v>
      </c>
    </row>
    <row r="60" spans="1:12" s="52" customFormat="1" ht="15.75" customHeight="1" x14ac:dyDescent="0.3">
      <c r="A60" s="50"/>
      <c r="C60" s="156"/>
      <c r="D60" s="173"/>
      <c r="E60" s="48"/>
      <c r="F60" s="164"/>
      <c r="G60" s="164"/>
      <c r="H60" s="164"/>
      <c r="I60" s="164"/>
      <c r="J60" s="164"/>
      <c r="K60" s="53"/>
      <c r="L60" s="17"/>
    </row>
    <row r="61" spans="1:12" s="107" customFormat="1" x14ac:dyDescent="0.3">
      <c r="A61" s="109"/>
      <c r="C61" s="174"/>
      <c r="D61" s="175"/>
      <c r="E61" s="110">
        <v>-0.53806383210930819</v>
      </c>
      <c r="F61" s="176"/>
      <c r="G61" s="176"/>
      <c r="H61" s="176"/>
      <c r="I61" s="176"/>
      <c r="J61" s="176"/>
      <c r="K61" s="111"/>
    </row>
    <row r="62" spans="1:12" s="107" customFormat="1" x14ac:dyDescent="0.3">
      <c r="A62" s="112"/>
      <c r="C62" s="175"/>
      <c r="D62" s="175"/>
      <c r="F62" s="176"/>
      <c r="G62" s="176"/>
      <c r="H62" s="176"/>
      <c r="I62" s="176"/>
      <c r="J62" s="176"/>
      <c r="K62" s="111"/>
    </row>
    <row r="63" spans="1:12" s="107" customFormat="1" x14ac:dyDescent="0.3">
      <c r="A63" s="109">
        <f>A59*0.5</f>
        <v>-3</v>
      </c>
      <c r="C63" s="175"/>
      <c r="D63" s="175" t="s">
        <v>101</v>
      </c>
      <c r="E63" s="114">
        <v>-350649.18116173911</v>
      </c>
      <c r="F63" s="176">
        <v>7541838.4440134615</v>
      </c>
      <c r="G63" s="176">
        <v>22888649.082511444</v>
      </c>
      <c r="H63" s="176">
        <v>30888650.915296499</v>
      </c>
      <c r="I63" s="176">
        <v>34983114.371422969</v>
      </c>
      <c r="J63" s="176">
        <v>36962428.335708767</v>
      </c>
      <c r="K63" s="111">
        <v>133264681.14895314</v>
      </c>
    </row>
    <row r="64" spans="1:12" s="107" customFormat="1" x14ac:dyDescent="0.3">
      <c r="A64" s="109">
        <f>A59*0.5</f>
        <v>-3</v>
      </c>
      <c r="C64" s="175"/>
      <c r="D64" s="175" t="s">
        <v>6</v>
      </c>
      <c r="E64" s="114">
        <v>-350649.18116173911</v>
      </c>
      <c r="F64" s="176">
        <v>7541838.4440134615</v>
      </c>
      <c r="G64" s="176">
        <v>22888649.082511444</v>
      </c>
      <c r="H64" s="176">
        <v>30888650.915296499</v>
      </c>
      <c r="I64" s="176">
        <v>34983114.371422969</v>
      </c>
      <c r="J64" s="176">
        <v>36962428.335708767</v>
      </c>
      <c r="K64" s="111">
        <v>133264681.14895314</v>
      </c>
    </row>
    <row r="65" spans="1:12" s="107" customFormat="1" x14ac:dyDescent="0.3">
      <c r="A65" s="121"/>
      <c r="C65" s="175"/>
      <c r="D65" s="177"/>
      <c r="E65" s="122"/>
      <c r="F65" s="175"/>
      <c r="G65" s="175"/>
      <c r="H65" s="175"/>
      <c r="I65" s="175"/>
      <c r="J65" s="175"/>
    </row>
    <row r="66" spans="1:12" ht="14.45" customHeight="1" x14ac:dyDescent="0.3">
      <c r="A66" s="35"/>
      <c r="B66" s="4"/>
      <c r="C66" s="277" t="s">
        <v>153</v>
      </c>
      <c r="D66" s="277"/>
      <c r="E66" s="181"/>
      <c r="F66" s="169"/>
      <c r="G66" s="169"/>
      <c r="H66" s="169"/>
      <c r="I66" s="169"/>
      <c r="J66" s="169"/>
      <c r="K66" s="38"/>
      <c r="L66" s="1"/>
    </row>
    <row r="67" spans="1:12" x14ac:dyDescent="0.3">
      <c r="A67" s="35"/>
      <c r="B67" s="4"/>
      <c r="C67" s="277"/>
      <c r="D67" s="277"/>
      <c r="E67" s="181"/>
      <c r="F67" s="169"/>
      <c r="G67" s="169"/>
      <c r="H67" s="169"/>
      <c r="I67" s="169"/>
      <c r="J67" s="169"/>
      <c r="K67" s="38"/>
      <c r="L67" s="1"/>
    </row>
    <row r="68" spans="1:12" x14ac:dyDescent="0.3">
      <c r="A68" s="21"/>
      <c r="B68" s="22"/>
    </row>
    <row r="69" spans="1:12" x14ac:dyDescent="0.3">
      <c r="A69" s="20"/>
      <c r="B69" s="1"/>
    </row>
  </sheetData>
  <mergeCells count="4">
    <mergeCell ref="C66:D67"/>
    <mergeCell ref="C21:D21"/>
    <mergeCell ref="C36:D37"/>
    <mergeCell ref="C40:D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7924-6CC0-4684-803E-40CC015C7FED}">
  <dimension ref="A1:H15"/>
  <sheetViews>
    <sheetView workbookViewId="0">
      <selection activeCell="F33" sqref="F33"/>
    </sheetView>
  </sheetViews>
  <sheetFormatPr defaultRowHeight="15" x14ac:dyDescent="0.25"/>
  <cols>
    <col min="1" max="1" width="27.28515625" bestFit="1" customWidth="1"/>
    <col min="2" max="2" width="12.42578125" bestFit="1" customWidth="1"/>
    <col min="3" max="5" width="13.42578125" bestFit="1" customWidth="1"/>
    <col min="6" max="6" width="13.42578125" style="19" bestFit="1" customWidth="1"/>
    <col min="7" max="7" width="15" bestFit="1" customWidth="1"/>
    <col min="8" max="8" width="30" bestFit="1" customWidth="1"/>
    <col min="9" max="9" width="12.85546875" bestFit="1" customWidth="1"/>
    <col min="10" max="12" width="14.140625" bestFit="1" customWidth="1"/>
    <col min="13" max="13" width="13.85546875" bestFit="1" customWidth="1"/>
    <col min="14" max="14" width="15.85546875" bestFit="1" customWidth="1"/>
  </cols>
  <sheetData>
    <row r="1" spans="1:8" x14ac:dyDescent="0.25">
      <c r="F1"/>
    </row>
    <row r="2" spans="1:8" x14ac:dyDescent="0.25">
      <c r="F2"/>
    </row>
    <row r="3" spans="1:8" x14ac:dyDescent="0.25">
      <c r="A3" s="2" t="s">
        <v>100</v>
      </c>
      <c r="B3" s="1"/>
      <c r="C3" s="1"/>
      <c r="D3" s="1"/>
      <c r="E3" s="1"/>
      <c r="F3" s="1"/>
      <c r="G3" s="1"/>
      <c r="H3" s="1"/>
    </row>
    <row r="4" spans="1:8" x14ac:dyDescent="0.25">
      <c r="B4" s="17" t="s">
        <v>95</v>
      </c>
      <c r="C4" s="17" t="s">
        <v>96</v>
      </c>
      <c r="D4" s="17" t="s">
        <v>97</v>
      </c>
      <c r="E4" s="17" t="s">
        <v>98</v>
      </c>
      <c r="F4" s="17" t="s">
        <v>99</v>
      </c>
      <c r="G4" s="17" t="s">
        <v>55</v>
      </c>
      <c r="H4" s="1"/>
    </row>
    <row r="5" spans="1:8" s="62" customFormat="1" x14ac:dyDescent="0.25">
      <c r="A5" s="63" t="s">
        <v>53</v>
      </c>
      <c r="B5" s="53">
        <f>Calculations!BT12</f>
        <v>90298017.641687661</v>
      </c>
      <c r="C5" s="53">
        <f>Calculations!BU12</f>
        <v>200399094.356399</v>
      </c>
      <c r="D5" s="53">
        <f>Calculations!BV12</f>
        <v>259893321.82171115</v>
      </c>
      <c r="E5" s="53">
        <f>Calculations!BW12</f>
        <v>292041627.79028809</v>
      </c>
      <c r="F5" s="53">
        <f>Calculations!BX12</f>
        <v>309413289.22167361</v>
      </c>
      <c r="G5" s="53">
        <f>SUM(B5:F5)</f>
        <v>1152045350.8317595</v>
      </c>
    </row>
    <row r="6" spans="1:8" s="55" customFormat="1" ht="14.45" customHeight="1" x14ac:dyDescent="0.25">
      <c r="A6" s="56" t="s">
        <v>0</v>
      </c>
      <c r="B6" s="51">
        <f>Calculations!BT21</f>
        <v>60860330.286679283</v>
      </c>
      <c r="C6" s="51">
        <f>Calculations!BU21</f>
        <v>130957343.00937912</v>
      </c>
      <c r="D6" s="51">
        <f>Calculations!BV21</f>
        <v>168904603.27705786</v>
      </c>
      <c r="E6" s="51">
        <f>Calculations!BW21</f>
        <v>189469376.35497561</v>
      </c>
      <c r="F6" s="51">
        <f>Calculations!BX21</f>
        <v>200589517.46303028</v>
      </c>
      <c r="G6" s="55">
        <f t="shared" ref="G6:G10" si="0">SUM(B6:F6)</f>
        <v>750781170.3911221</v>
      </c>
    </row>
    <row r="7" spans="1:8" s="55" customFormat="1" x14ac:dyDescent="0.25">
      <c r="A7" s="55" t="s">
        <v>152</v>
      </c>
      <c r="B7" s="51">
        <f>Calculations!BT40</f>
        <v>23575109.463803209</v>
      </c>
      <c r="C7" s="51">
        <f>Calculations!BU40</f>
        <v>30841170.712431788</v>
      </c>
      <c r="D7" s="51">
        <f>Calculations!BV40</f>
        <v>36927778.244495124</v>
      </c>
      <c r="E7" s="51">
        <f>Calculations!BW40</f>
        <v>38226756.222901307</v>
      </c>
      <c r="F7" s="51">
        <f>Calculations!BX40</f>
        <v>40817431.61766056</v>
      </c>
      <c r="G7" s="55">
        <f t="shared" si="0"/>
        <v>170388246.26129198</v>
      </c>
    </row>
    <row r="8" spans="1:8" s="67" customFormat="1" ht="15.75" customHeight="1" x14ac:dyDescent="0.25">
      <c r="A8" s="68" t="s">
        <v>1</v>
      </c>
      <c r="B8" s="71">
        <f>Calculations!BT65</f>
        <v>5862577.8912051748</v>
      </c>
      <c r="C8" s="71">
        <f>Calculations!BU65</f>
        <v>38600580.634588107</v>
      </c>
      <c r="D8" s="71">
        <f>Calculations!BV65</f>
        <v>54060940.300158218</v>
      </c>
      <c r="E8" s="71">
        <f>Calculations!BW65</f>
        <v>64345495.212411143</v>
      </c>
      <c r="F8" s="71">
        <f>Calculations!BX65</f>
        <v>68006340.140982762</v>
      </c>
      <c r="G8" s="71">
        <f t="shared" si="0"/>
        <v>230875934.17934543</v>
      </c>
    </row>
    <row r="9" spans="1:8" s="107" customFormat="1" x14ac:dyDescent="0.25">
      <c r="A9" s="108" t="s">
        <v>158</v>
      </c>
      <c r="B9" s="111">
        <f>Calculations!BT69</f>
        <v>2931288.9456025874</v>
      </c>
      <c r="C9" s="111">
        <v>22587925.482511446</v>
      </c>
      <c r="D9" s="111">
        <v>30552572.135296501</v>
      </c>
      <c r="E9" s="111">
        <v>34609485.722422965</v>
      </c>
      <c r="F9" s="111">
        <v>36548915.50915876</v>
      </c>
      <c r="G9" s="120">
        <f t="shared" si="0"/>
        <v>127230187.79499227</v>
      </c>
    </row>
    <row r="10" spans="1:8" s="107" customFormat="1" x14ac:dyDescent="0.25">
      <c r="A10" s="108" t="s">
        <v>6</v>
      </c>
      <c r="B10" s="111">
        <f>Calculations!BT70</f>
        <v>2931288.9456025874</v>
      </c>
      <c r="C10" s="111">
        <v>22587925.482511446</v>
      </c>
      <c r="D10" s="111">
        <v>30552572.135296501</v>
      </c>
      <c r="E10" s="111">
        <v>34609485.722422965</v>
      </c>
      <c r="F10" s="111">
        <v>36548915.50915876</v>
      </c>
      <c r="G10" s="120">
        <f t="shared" si="0"/>
        <v>127230187.79499227</v>
      </c>
    </row>
    <row r="11" spans="1:8" s="107" customFormat="1" x14ac:dyDescent="0.25"/>
    <row r="12" spans="1:8" ht="14.45" customHeight="1" x14ac:dyDescent="0.25">
      <c r="A12" s="3"/>
      <c r="B12" s="38"/>
      <c r="C12" s="38"/>
      <c r="D12" s="38"/>
      <c r="E12" s="38"/>
      <c r="F12" s="38"/>
      <c r="G12" s="38"/>
      <c r="H12" s="1"/>
    </row>
    <row r="13" spans="1:8" x14ac:dyDescent="0.25">
      <c r="A13" s="3"/>
      <c r="B13" s="38"/>
      <c r="C13" s="38"/>
      <c r="D13" s="38"/>
      <c r="E13" s="38"/>
      <c r="F13" s="38"/>
      <c r="G13" s="38"/>
      <c r="H13" s="1"/>
    </row>
    <row r="14" spans="1:8" x14ac:dyDescent="0.25">
      <c r="B14" s="1"/>
      <c r="C14" s="1"/>
      <c r="D14" s="1"/>
      <c r="E14" s="2"/>
      <c r="F14" s="21"/>
    </row>
    <row r="15" spans="1:8" x14ac:dyDescent="0.25">
      <c r="B15" s="1"/>
      <c r="C15" s="1"/>
      <c r="D15" s="1"/>
      <c r="E15" s="1"/>
      <c r="F15" s="2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944C-4F0E-49CF-9132-1DCD38D2AE39}">
  <dimension ref="C3:O14"/>
  <sheetViews>
    <sheetView topLeftCell="D1" workbookViewId="0">
      <selection activeCell="J15" sqref="J15"/>
    </sheetView>
  </sheetViews>
  <sheetFormatPr defaultRowHeight="15" x14ac:dyDescent="0.25"/>
  <cols>
    <col min="3" max="3" width="13.5703125" bestFit="1" customWidth="1"/>
    <col min="4" max="4" width="11" bestFit="1" customWidth="1"/>
    <col min="5" max="5" width="15" bestFit="1" customWidth="1"/>
    <col min="6" max="6" width="20" bestFit="1" customWidth="1"/>
    <col min="7" max="7" width="24.140625" bestFit="1" customWidth="1"/>
    <col min="8" max="8" width="15.85546875" bestFit="1" customWidth="1"/>
    <col min="9" max="9" width="11.140625" bestFit="1" customWidth="1"/>
    <col min="10" max="11" width="13.85546875" bestFit="1" customWidth="1"/>
    <col min="12" max="12" width="11.85546875" bestFit="1" customWidth="1"/>
    <col min="13" max="13" width="10.85546875" bestFit="1" customWidth="1"/>
    <col min="14" max="14" width="11.140625" bestFit="1" customWidth="1"/>
  </cols>
  <sheetData>
    <row r="3" spans="3:15" x14ac:dyDescent="0.25">
      <c r="D3" s="8" t="s">
        <v>10</v>
      </c>
      <c r="E3" s="8" t="s">
        <v>54</v>
      </c>
      <c r="F3" s="8" t="s">
        <v>7</v>
      </c>
      <c r="G3" s="8" t="s">
        <v>8</v>
      </c>
      <c r="H3" s="8" t="s">
        <v>9</v>
      </c>
      <c r="I3" s="8" t="s">
        <v>11</v>
      </c>
      <c r="J3" s="8" t="s">
        <v>52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56</v>
      </c>
    </row>
    <row r="4" spans="3:15" ht="17.25" x14ac:dyDescent="0.25">
      <c r="F4" s="9"/>
      <c r="G4" s="9"/>
      <c r="H4" s="9"/>
    </row>
    <row r="5" spans="3:15" ht="17.25" x14ac:dyDescent="0.25">
      <c r="C5" s="6" t="s">
        <v>102</v>
      </c>
      <c r="D5" s="11">
        <v>85</v>
      </c>
      <c r="E5" s="15">
        <f>D5/1.15</f>
        <v>73.913043478260875</v>
      </c>
      <c r="F5" s="10">
        <v>10</v>
      </c>
      <c r="G5" s="40">
        <v>1536</v>
      </c>
      <c r="H5" s="41">
        <v>20</v>
      </c>
      <c r="I5" s="11">
        <v>6.5</v>
      </c>
      <c r="J5" s="14">
        <v>0.9</v>
      </c>
      <c r="K5" s="13">
        <f>F5*0.38</f>
        <v>3.8</v>
      </c>
      <c r="L5" s="13">
        <f>G5*0.01921</f>
        <v>29.50656</v>
      </c>
      <c r="M5" s="13">
        <f>H5*0.16</f>
        <v>3.2</v>
      </c>
      <c r="N5" s="13">
        <f>SUM(K5:M5)</f>
        <v>36.50656</v>
      </c>
      <c r="O5" s="14">
        <f>1-(N5/E5)</f>
        <v>0.50608771764705884</v>
      </c>
    </row>
    <row r="6" spans="3:15" ht="17.25" x14ac:dyDescent="0.25">
      <c r="C6" s="7" t="s">
        <v>103</v>
      </c>
      <c r="D6" s="12">
        <v>159</v>
      </c>
      <c r="E6" s="15">
        <f t="shared" ref="E6:E8" si="0">D6/1.15</f>
        <v>138.2608695652174</v>
      </c>
      <c r="F6" s="10">
        <v>20</v>
      </c>
      <c r="G6" s="40">
        <v>3072</v>
      </c>
      <c r="H6" s="42">
        <v>50</v>
      </c>
      <c r="I6" s="11">
        <v>6.5</v>
      </c>
      <c r="J6" s="14">
        <v>0.05</v>
      </c>
      <c r="K6" s="13">
        <f t="shared" ref="K6:K8" si="1">F6*0.38</f>
        <v>7.6</v>
      </c>
      <c r="L6" s="13">
        <f t="shared" ref="L6" si="2">G6*0.01921</f>
        <v>59.013120000000001</v>
      </c>
      <c r="M6" s="13">
        <f t="shared" ref="M6:M8" si="3">H6*0.16</f>
        <v>8</v>
      </c>
      <c r="N6" s="13">
        <f t="shared" ref="N6:N8" si="4">SUM(K6:M6)</f>
        <v>74.613119999999995</v>
      </c>
      <c r="O6" s="14">
        <f t="shared" ref="O6:O8" si="5">1-(N6/E6)</f>
        <v>0.46034535849056613</v>
      </c>
    </row>
    <row r="7" spans="3:15" ht="17.25" x14ac:dyDescent="0.25">
      <c r="C7" s="23" t="s">
        <v>104</v>
      </c>
      <c r="D7" s="24">
        <v>175</v>
      </c>
      <c r="E7" s="25">
        <f t="shared" si="0"/>
        <v>152.17391304347828</v>
      </c>
      <c r="F7" s="26">
        <v>30</v>
      </c>
      <c r="G7" s="40">
        <v>5324.8</v>
      </c>
      <c r="H7" s="42">
        <v>50</v>
      </c>
      <c r="I7" s="11">
        <v>6.5</v>
      </c>
      <c r="J7" s="14">
        <v>0.03</v>
      </c>
      <c r="K7" s="13">
        <f t="shared" si="1"/>
        <v>11.4</v>
      </c>
      <c r="L7" s="13">
        <f>G7*0.01225</f>
        <v>65.228800000000007</v>
      </c>
      <c r="M7" s="13">
        <f t="shared" si="3"/>
        <v>8</v>
      </c>
      <c r="N7" s="13">
        <f t="shared" si="4"/>
        <v>84.628800000000012</v>
      </c>
      <c r="O7" s="14">
        <f t="shared" si="5"/>
        <v>0.4438678857142857</v>
      </c>
    </row>
    <row r="8" spans="3:15" ht="17.25" x14ac:dyDescent="0.25">
      <c r="C8" s="7" t="s">
        <v>105</v>
      </c>
      <c r="D8" s="12">
        <v>199</v>
      </c>
      <c r="E8" s="15">
        <f t="shared" si="0"/>
        <v>173.04347826086959</v>
      </c>
      <c r="F8" s="10">
        <v>40</v>
      </c>
      <c r="G8" s="40">
        <v>10444.799999999999</v>
      </c>
      <c r="H8" s="42">
        <v>50</v>
      </c>
      <c r="I8" s="11">
        <v>6.5</v>
      </c>
      <c r="J8" s="14">
        <v>0.02</v>
      </c>
      <c r="K8" s="13">
        <f t="shared" si="1"/>
        <v>15.2</v>
      </c>
      <c r="L8" s="13">
        <f>G8*0.00948</f>
        <v>99.016704000000004</v>
      </c>
      <c r="M8" s="13">
        <f t="shared" si="3"/>
        <v>8</v>
      </c>
      <c r="N8" s="13">
        <f t="shared" si="4"/>
        <v>122.21670400000001</v>
      </c>
      <c r="O8" s="14">
        <f t="shared" si="5"/>
        <v>0.29372256482412062</v>
      </c>
    </row>
    <row r="11" spans="3:15" ht="17.25" x14ac:dyDescent="0.25">
      <c r="E11" s="43"/>
      <c r="F11" s="44"/>
      <c r="G11" s="44"/>
      <c r="H11" s="45"/>
      <c r="I11" s="46"/>
    </row>
    <row r="12" spans="3:15" ht="17.25" x14ac:dyDescent="0.25">
      <c r="E12" s="43"/>
      <c r="F12" s="44"/>
      <c r="G12" s="44"/>
      <c r="H12" s="45"/>
      <c r="I12" s="46"/>
    </row>
    <row r="13" spans="3:15" ht="17.25" x14ac:dyDescent="0.25">
      <c r="E13" s="43"/>
      <c r="F13" s="44"/>
      <c r="G13" s="44"/>
      <c r="H13" s="45"/>
      <c r="I13" s="46"/>
    </row>
    <row r="14" spans="3:15" ht="17.25" x14ac:dyDescent="0.25">
      <c r="E14" s="43"/>
      <c r="F14" s="44"/>
      <c r="G14" s="44"/>
      <c r="H14" s="45"/>
      <c r="I14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CCED-B00A-424F-BEFB-89703189BD6E}">
  <dimension ref="B1:D26"/>
  <sheetViews>
    <sheetView workbookViewId="0">
      <selection activeCell="B1" sqref="B1:E11"/>
    </sheetView>
  </sheetViews>
  <sheetFormatPr defaultRowHeight="15" x14ac:dyDescent="0.25"/>
  <sheetData>
    <row r="1" spans="2:4" x14ac:dyDescent="0.25">
      <c r="B1" t="s">
        <v>185</v>
      </c>
    </row>
    <row r="2" spans="2:4" ht="45" x14ac:dyDescent="0.25">
      <c r="C2" s="27" t="s">
        <v>57</v>
      </c>
      <c r="D2" s="27" t="s">
        <v>66</v>
      </c>
    </row>
    <row r="3" spans="2:4" x14ac:dyDescent="0.25">
      <c r="C3" s="28" t="s">
        <v>58</v>
      </c>
      <c r="D3" s="29">
        <v>18</v>
      </c>
    </row>
    <row r="4" spans="2:4" x14ac:dyDescent="0.25">
      <c r="C4" s="28" t="s">
        <v>59</v>
      </c>
      <c r="D4" s="29">
        <v>35</v>
      </c>
    </row>
    <row r="5" spans="2:4" x14ac:dyDescent="0.25">
      <c r="C5" s="28" t="s">
        <v>60</v>
      </c>
      <c r="D5" s="29">
        <v>50</v>
      </c>
    </row>
    <row r="6" spans="2:4" x14ac:dyDescent="0.25">
      <c r="C6" s="30" t="s">
        <v>61</v>
      </c>
      <c r="D6" s="29">
        <v>55</v>
      </c>
    </row>
    <row r="7" spans="2:4" x14ac:dyDescent="0.25">
      <c r="C7" s="30" t="s">
        <v>62</v>
      </c>
      <c r="D7" s="29">
        <v>80</v>
      </c>
    </row>
    <row r="8" spans="2:4" x14ac:dyDescent="0.25">
      <c r="C8" s="30" t="s">
        <v>63</v>
      </c>
      <c r="D8" s="29">
        <v>110</v>
      </c>
    </row>
    <row r="9" spans="2:4" x14ac:dyDescent="0.25">
      <c r="C9" s="30" t="s">
        <v>64</v>
      </c>
      <c r="D9" s="29">
        <v>135</v>
      </c>
    </row>
    <row r="10" spans="2:4" x14ac:dyDescent="0.25">
      <c r="C10" s="30" t="s">
        <v>65</v>
      </c>
      <c r="D10" s="29">
        <v>150</v>
      </c>
    </row>
    <row r="12" spans="2:4" ht="30" x14ac:dyDescent="0.25">
      <c r="C12" s="33" t="s">
        <v>68</v>
      </c>
      <c r="D12" s="33" t="s">
        <v>67</v>
      </c>
    </row>
    <row r="13" spans="2:4" x14ac:dyDescent="0.25">
      <c r="C13" s="31">
        <v>8</v>
      </c>
      <c r="D13" s="32">
        <v>5</v>
      </c>
    </row>
    <row r="14" spans="2:4" x14ac:dyDescent="0.25">
      <c r="C14" s="31">
        <v>12</v>
      </c>
      <c r="D14" s="32">
        <v>15</v>
      </c>
    </row>
    <row r="15" spans="2:4" x14ac:dyDescent="0.25">
      <c r="C15" s="31">
        <v>25</v>
      </c>
      <c r="D15" s="32">
        <v>40</v>
      </c>
    </row>
    <row r="16" spans="2:4" x14ac:dyDescent="0.25">
      <c r="C16" s="31">
        <v>45</v>
      </c>
      <c r="D16" s="32">
        <v>80</v>
      </c>
    </row>
    <row r="17" spans="3:4" x14ac:dyDescent="0.25">
      <c r="C17" s="31">
        <v>80</v>
      </c>
      <c r="D17" s="32">
        <v>160</v>
      </c>
    </row>
    <row r="19" spans="3:4" ht="30" x14ac:dyDescent="0.25">
      <c r="C19" s="33" t="s">
        <v>70</v>
      </c>
      <c r="D19" s="33" t="s">
        <v>69</v>
      </c>
    </row>
    <row r="20" spans="3:4" x14ac:dyDescent="0.25">
      <c r="C20" s="31">
        <v>5</v>
      </c>
      <c r="D20" s="32">
        <v>15</v>
      </c>
    </row>
    <row r="21" spans="3:4" x14ac:dyDescent="0.25">
      <c r="C21" s="31">
        <v>10</v>
      </c>
      <c r="D21" s="32">
        <v>35</v>
      </c>
    </row>
    <row r="22" spans="3:4" x14ac:dyDescent="0.25">
      <c r="C22" s="31">
        <v>17</v>
      </c>
      <c r="D22" s="32">
        <v>60</v>
      </c>
    </row>
    <row r="23" spans="3:4" x14ac:dyDescent="0.25">
      <c r="C23" s="31">
        <v>30</v>
      </c>
      <c r="D23" s="32">
        <v>110</v>
      </c>
    </row>
    <row r="24" spans="3:4" x14ac:dyDescent="0.25">
      <c r="C24" s="31">
        <v>50</v>
      </c>
      <c r="D24" s="32">
        <v>200</v>
      </c>
    </row>
    <row r="25" spans="3:4" x14ac:dyDescent="0.25">
      <c r="C25" s="31">
        <v>72.5</v>
      </c>
      <c r="D25" s="32">
        <v>300</v>
      </c>
    </row>
    <row r="26" spans="3:4" x14ac:dyDescent="0.25">
      <c r="C26" s="31">
        <v>115</v>
      </c>
      <c r="D26" s="3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Calculations</vt:lpstr>
      <vt:lpstr>Annual Calculations</vt:lpstr>
      <vt:lpstr>Graphs</vt:lpstr>
      <vt:lpstr>Packages</vt:lpstr>
      <vt:lpstr>Bundles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 Wicks</dc:creator>
  <cp:lastModifiedBy>Edward  Wicks</cp:lastModifiedBy>
  <cp:lastPrinted>2026-01-15T12:09:25Z</cp:lastPrinted>
  <dcterms:created xsi:type="dcterms:W3CDTF">2024-11-05T12:27:17Z</dcterms:created>
  <dcterms:modified xsi:type="dcterms:W3CDTF">2026-04-29T14:35:27Z</dcterms:modified>
</cp:coreProperties>
</file>